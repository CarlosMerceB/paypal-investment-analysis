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arlo\Desktop\paypal-investment-analysis\model\"/>
    </mc:Choice>
  </mc:AlternateContent>
  <xr:revisionPtr revIDLastSave="0" documentId="13_ncr:1_{EEE72686-9EAA-4EB9-AD09-6DB4AB53EEB9}" xr6:coauthVersionLast="47" xr6:coauthVersionMax="47" xr10:uidLastSave="{00000000-0000-0000-0000-000000000000}"/>
  <bookViews>
    <workbookView xWindow="-28920" yWindow="-2400" windowWidth="29040" windowHeight="15840" activeTab="3" xr2:uid="{00000000-000D-0000-FFFF-FFFF00000000}"/>
  </bookViews>
  <sheets>
    <sheet name="Cover" sheetId="1" r:id="rId1"/>
    <sheet name="Assumptions" sheetId="2" r:id="rId2"/>
    <sheet name="Income Statement" sheetId="3" r:id="rId3"/>
    <sheet name="Balance Sheet" sheetId="4" r:id="rId4"/>
    <sheet name="Cash Flow" sheetId="5" r:id="rId5"/>
    <sheet name="Ratios" sheetId="6" r:id="rId6"/>
    <sheet name="DCF" sheetId="7" r:id="rId7"/>
    <sheet name="Scenarios" sheetId="8" r:id="rId8"/>
    <sheet name="Investment Memo" sheetId="9" r:id="rId9"/>
  </sheets>
  <definedNames>
    <definedName name="_xlnm.Print_Area" localSheetId="0">Cover!$A$1:$D$50</definedName>
  </definedNames>
  <calcPr calcId="191029"/>
</workbook>
</file>

<file path=xl/calcChain.xml><?xml version="1.0" encoding="utf-8"?>
<calcChain xmlns="http://schemas.openxmlformats.org/spreadsheetml/2006/main">
  <c r="C47" i="8" l="1"/>
  <c r="C32" i="8"/>
  <c r="E23" i="8"/>
  <c r="E21" i="8"/>
  <c r="C21" i="8"/>
  <c r="E19" i="8"/>
  <c r="E20" i="8" s="1"/>
  <c r="C19" i="8"/>
  <c r="C20" i="8" s="1"/>
  <c r="G44" i="7"/>
  <c r="F44" i="7"/>
  <c r="E44" i="7"/>
  <c r="D44" i="7"/>
  <c r="C44" i="7"/>
  <c r="C38" i="7"/>
  <c r="E25" i="8" s="1"/>
  <c r="C35" i="7"/>
  <c r="C23" i="8" s="1"/>
  <c r="E26" i="7"/>
  <c r="C26" i="7"/>
  <c r="C17" i="7"/>
  <c r="B50" i="7" s="1"/>
  <c r="C12" i="7"/>
  <c r="C8" i="7"/>
  <c r="I38" i="6"/>
  <c r="H38" i="6"/>
  <c r="G38" i="6"/>
  <c r="F38" i="6"/>
  <c r="E38" i="6"/>
  <c r="D38" i="6"/>
  <c r="I37" i="6"/>
  <c r="H37" i="6"/>
  <c r="G37" i="6"/>
  <c r="F37" i="6"/>
  <c r="E37" i="6"/>
  <c r="D37" i="6"/>
  <c r="L36" i="6"/>
  <c r="I36" i="6"/>
  <c r="H36" i="6"/>
  <c r="G36" i="6"/>
  <c r="F36" i="6"/>
  <c r="E36" i="6"/>
  <c r="D36" i="6"/>
  <c r="I32" i="6"/>
  <c r="H32" i="6"/>
  <c r="G32" i="6"/>
  <c r="F32" i="6"/>
  <c r="E32" i="6"/>
  <c r="D32" i="6"/>
  <c r="C32" i="6"/>
  <c r="I31" i="6"/>
  <c r="H31" i="6"/>
  <c r="G31" i="6"/>
  <c r="F31" i="6"/>
  <c r="E31" i="6"/>
  <c r="D31" i="6"/>
  <c r="C31" i="6"/>
  <c r="I27" i="6"/>
  <c r="H27" i="6"/>
  <c r="G27" i="6"/>
  <c r="F27" i="6"/>
  <c r="E27" i="6"/>
  <c r="D27" i="6"/>
  <c r="C27" i="6"/>
  <c r="I26" i="6"/>
  <c r="H26" i="6"/>
  <c r="G26" i="6"/>
  <c r="F26" i="6"/>
  <c r="E26" i="6"/>
  <c r="D26" i="6"/>
  <c r="C26" i="6"/>
  <c r="I25" i="6"/>
  <c r="H25" i="6"/>
  <c r="G25" i="6"/>
  <c r="F25" i="6"/>
  <c r="E25" i="6"/>
  <c r="D25" i="6"/>
  <c r="C25" i="6"/>
  <c r="I21" i="6"/>
  <c r="H21" i="6"/>
  <c r="G21" i="6"/>
  <c r="F21" i="6"/>
  <c r="E21" i="6"/>
  <c r="D21" i="6"/>
  <c r="C21" i="6"/>
  <c r="I17" i="6"/>
  <c r="H17" i="6"/>
  <c r="G17" i="6"/>
  <c r="F17" i="6"/>
  <c r="E17" i="6"/>
  <c r="D17" i="6"/>
  <c r="C17" i="6"/>
  <c r="I16" i="6"/>
  <c r="H16" i="6"/>
  <c r="G16" i="6"/>
  <c r="F16" i="6"/>
  <c r="E16" i="6"/>
  <c r="D16" i="6"/>
  <c r="C16" i="6"/>
  <c r="I15" i="6"/>
  <c r="H15" i="6"/>
  <c r="G15" i="6"/>
  <c r="F15" i="6"/>
  <c r="E15" i="6"/>
  <c r="D15" i="6"/>
  <c r="C15" i="6"/>
  <c r="I11" i="6"/>
  <c r="H11" i="6"/>
  <c r="G11" i="6"/>
  <c r="F11" i="6"/>
  <c r="E11" i="6"/>
  <c r="D11" i="6"/>
  <c r="C11" i="6"/>
  <c r="I10" i="6"/>
  <c r="H10" i="6"/>
  <c r="G10" i="6"/>
  <c r="F10" i="6"/>
  <c r="E10" i="6"/>
  <c r="D10" i="6"/>
  <c r="C10" i="6"/>
  <c r="I9" i="6"/>
  <c r="H9" i="6"/>
  <c r="G9" i="6"/>
  <c r="F9" i="6"/>
  <c r="E9" i="6"/>
  <c r="D9" i="6"/>
  <c r="C9" i="6"/>
  <c r="I8" i="6"/>
  <c r="H8" i="6"/>
  <c r="G8" i="6"/>
  <c r="F8" i="6"/>
  <c r="E8" i="6"/>
  <c r="D8" i="6"/>
  <c r="C8" i="6"/>
  <c r="I7" i="6"/>
  <c r="H7" i="6"/>
  <c r="G7" i="6"/>
  <c r="F7" i="6"/>
  <c r="E7" i="6"/>
  <c r="D7" i="6"/>
  <c r="C7" i="6"/>
  <c r="J43" i="5"/>
  <c r="L34" i="5"/>
  <c r="K34" i="5"/>
  <c r="J34" i="5"/>
  <c r="L33" i="5"/>
  <c r="K33" i="5"/>
  <c r="J33" i="5"/>
  <c r="L32" i="5"/>
  <c r="L36" i="5" s="1"/>
  <c r="L26" i="5"/>
  <c r="L28" i="5" s="1"/>
  <c r="K26" i="5"/>
  <c r="J26" i="5"/>
  <c r="L25" i="5"/>
  <c r="L32" i="6" s="1"/>
  <c r="K25" i="5"/>
  <c r="K32" i="6" s="1"/>
  <c r="J25" i="5"/>
  <c r="J32" i="6" s="1"/>
  <c r="L18" i="5"/>
  <c r="K18" i="5"/>
  <c r="J18" i="5"/>
  <c r="K17" i="5"/>
  <c r="L11" i="5"/>
  <c r="K11" i="5"/>
  <c r="J11" i="5"/>
  <c r="L10" i="5"/>
  <c r="K10" i="5"/>
  <c r="J10" i="5"/>
  <c r="K44" i="4"/>
  <c r="L44" i="4" s="1"/>
  <c r="J44" i="4"/>
  <c r="J43" i="4"/>
  <c r="K43" i="4" s="1"/>
  <c r="L43" i="4" s="1"/>
  <c r="J41" i="4"/>
  <c r="J34" i="4"/>
  <c r="K34" i="4" s="1"/>
  <c r="L34" i="4" s="1"/>
  <c r="L33" i="4"/>
  <c r="K33" i="4"/>
  <c r="J33" i="4"/>
  <c r="J32" i="5" s="1"/>
  <c r="J36" i="5" s="1"/>
  <c r="K27" i="4"/>
  <c r="L27" i="4" s="1"/>
  <c r="L17" i="5" s="1"/>
  <c r="J27" i="4"/>
  <c r="J17" i="5" s="1"/>
  <c r="J19" i="4"/>
  <c r="K19" i="4" s="1"/>
  <c r="L19" i="4" s="1"/>
  <c r="K18" i="4"/>
  <c r="L18" i="4" s="1"/>
  <c r="J18" i="4"/>
  <c r="J17" i="4"/>
  <c r="K17" i="4" s="1"/>
  <c r="L17" i="4" s="1"/>
  <c r="K16" i="4"/>
  <c r="L16" i="4" s="1"/>
  <c r="J16" i="4"/>
  <c r="K10" i="4"/>
  <c r="L10" i="4" s="1"/>
  <c r="L15" i="5" s="1"/>
  <c r="J10" i="4"/>
  <c r="J15" i="5" s="1"/>
  <c r="K8" i="4"/>
  <c r="L8" i="4" s="1"/>
  <c r="J8" i="4"/>
  <c r="L30" i="3"/>
  <c r="K30" i="3"/>
  <c r="J30" i="3"/>
  <c r="L29" i="3"/>
  <c r="K29" i="3"/>
  <c r="J29" i="3"/>
  <c r="L28" i="3"/>
  <c r="K28" i="3"/>
  <c r="J28" i="3"/>
  <c r="L12" i="3"/>
  <c r="L13" i="3" s="1"/>
  <c r="K12" i="3"/>
  <c r="K13" i="3" s="1"/>
  <c r="L7" i="3"/>
  <c r="K7" i="3"/>
  <c r="J7" i="3"/>
  <c r="J36" i="6" s="1"/>
  <c r="M56" i="2"/>
  <c r="M53" i="2"/>
  <c r="M51" i="2"/>
  <c r="M44" i="2"/>
  <c r="M41" i="2"/>
  <c r="M40" i="2"/>
  <c r="M28" i="2"/>
  <c r="M25" i="2"/>
  <c r="L15" i="3" l="1"/>
  <c r="K15" i="3"/>
  <c r="K16" i="3" s="1"/>
  <c r="C22" i="8"/>
  <c r="C24" i="8" s="1"/>
  <c r="C28" i="8" s="1"/>
  <c r="E22" i="8"/>
  <c r="E24" i="8" s="1"/>
  <c r="E28" i="8" s="1"/>
  <c r="L7" i="6"/>
  <c r="L16" i="3"/>
  <c r="K32" i="5"/>
  <c r="K36" i="5" s="1"/>
  <c r="K36" i="6"/>
  <c r="B45" i="7"/>
  <c r="B49" i="7"/>
  <c r="D23" i="8"/>
  <c r="B48" i="7"/>
  <c r="J20" i="3"/>
  <c r="J21" i="3" s="1"/>
  <c r="J8" i="3"/>
  <c r="K20" i="3"/>
  <c r="K21" i="3" s="1"/>
  <c r="K41" i="4"/>
  <c r="J28" i="5"/>
  <c r="D26" i="7"/>
  <c r="B47" i="7"/>
  <c r="B51" i="7"/>
  <c r="K8" i="3"/>
  <c r="L20" i="3"/>
  <c r="L21" i="3" s="1"/>
  <c r="K15" i="5"/>
  <c r="K28" i="5"/>
  <c r="C25" i="8"/>
  <c r="J9" i="4"/>
  <c r="J26" i="4"/>
  <c r="L8" i="3"/>
  <c r="F26" i="7"/>
  <c r="B46" i="7"/>
  <c r="D25" i="8"/>
  <c r="J12" i="3"/>
  <c r="J13" i="3" s="1"/>
  <c r="K7" i="6" l="1"/>
  <c r="J15" i="3"/>
  <c r="J23" i="3" s="1"/>
  <c r="J7" i="6"/>
  <c r="K23" i="3"/>
  <c r="C51" i="8"/>
  <c r="C33" i="8"/>
  <c r="J14" i="5"/>
  <c r="K9" i="4"/>
  <c r="L41" i="4"/>
  <c r="J16" i="5"/>
  <c r="J29" i="4"/>
  <c r="J36" i="4" s="1"/>
  <c r="K26" i="4"/>
  <c r="E33" i="8"/>
  <c r="C46" i="8"/>
  <c r="L23" i="3"/>
  <c r="J16" i="3" l="1"/>
  <c r="L9" i="4"/>
  <c r="L14" i="5" s="1"/>
  <c r="K14" i="5"/>
  <c r="L24" i="3"/>
  <c r="L27" i="6"/>
  <c r="L10" i="6"/>
  <c r="L32" i="3"/>
  <c r="L8" i="6"/>
  <c r="L26" i="4"/>
  <c r="K16" i="5"/>
  <c r="K29" i="4"/>
  <c r="K36" i="4" s="1"/>
  <c r="K8" i="6"/>
  <c r="K32" i="3"/>
  <c r="K24" i="3"/>
  <c r="K27" i="6"/>
  <c r="K10" i="6"/>
  <c r="J8" i="6"/>
  <c r="J24" i="3"/>
  <c r="J27" i="6"/>
  <c r="J10" i="6"/>
  <c r="J32" i="3"/>
  <c r="K36" i="3" l="1"/>
  <c r="K39" i="3" s="1"/>
  <c r="L36" i="3"/>
  <c r="L39" i="3" s="1"/>
  <c r="L29" i="4"/>
  <c r="L36" i="4" s="1"/>
  <c r="L16" i="5"/>
  <c r="J36" i="3"/>
  <c r="J37" i="3" s="1"/>
  <c r="L37" i="3" l="1"/>
  <c r="K37" i="3"/>
  <c r="J39" i="3"/>
  <c r="J37" i="6" s="1"/>
  <c r="L46" i="3"/>
  <c r="L40" i="3"/>
  <c r="L41" i="3"/>
  <c r="L37" i="6"/>
  <c r="L9" i="6"/>
  <c r="L7" i="5"/>
  <c r="L20" i="5" s="1"/>
  <c r="K46" i="3"/>
  <c r="K40" i="3"/>
  <c r="K9" i="6"/>
  <c r="K7" i="5"/>
  <c r="K20" i="5" s="1"/>
  <c r="J40" i="3" l="1"/>
  <c r="J46" i="3"/>
  <c r="K38" i="6" s="1"/>
  <c r="J41" i="3"/>
  <c r="J9" i="6"/>
  <c r="J42" i="4"/>
  <c r="K42" i="4" s="1"/>
  <c r="K37" i="6"/>
  <c r="J7" i="5"/>
  <c r="J20" i="5" s="1"/>
  <c r="J49" i="5" s="1"/>
  <c r="K41" i="3"/>
  <c r="L49" i="5"/>
  <c r="L41" i="5"/>
  <c r="L21" i="5"/>
  <c r="J46" i="4"/>
  <c r="K49" i="5"/>
  <c r="K41" i="5"/>
  <c r="K21" i="5"/>
  <c r="L38" i="6"/>
  <c r="L47" i="3"/>
  <c r="K47" i="3" l="1"/>
  <c r="J21" i="5"/>
  <c r="J47" i="3"/>
  <c r="J38" i="6"/>
  <c r="J41" i="5"/>
  <c r="J44" i="5" s="1"/>
  <c r="J7" i="4" s="1"/>
  <c r="J25" i="6"/>
  <c r="J48" i="4"/>
  <c r="J15" i="6"/>
  <c r="L42" i="4"/>
  <c r="L46" i="4" s="1"/>
  <c r="K46" i="4"/>
  <c r="L11" i="6"/>
  <c r="L51" i="5"/>
  <c r="D18" i="8"/>
  <c r="D19" i="8" s="1"/>
  <c r="D20" i="8" s="1"/>
  <c r="E22" i="7"/>
  <c r="L50" i="5"/>
  <c r="C22" i="7"/>
  <c r="J50" i="5"/>
  <c r="J11" i="6"/>
  <c r="D21" i="8"/>
  <c r="J51" i="5"/>
  <c r="K11" i="6"/>
  <c r="K51" i="5"/>
  <c r="D22" i="7"/>
  <c r="D27" i="7" s="1"/>
  <c r="K50" i="5"/>
  <c r="K43" i="5"/>
  <c r="K44" i="5" s="1"/>
  <c r="D22" i="8" l="1"/>
  <c r="D24" i="8" s="1"/>
  <c r="D28" i="8" s="1"/>
  <c r="L25" i="6"/>
  <c r="L48" i="4"/>
  <c r="L15" i="6"/>
  <c r="K25" i="6"/>
  <c r="K48" i="4"/>
  <c r="K15" i="6"/>
  <c r="J12" i="4"/>
  <c r="J26" i="6"/>
  <c r="K7" i="4"/>
  <c r="L43" i="5"/>
  <c r="L44" i="5" s="1"/>
  <c r="L7" i="4" s="1"/>
  <c r="E51" i="7"/>
  <c r="C50" i="7"/>
  <c r="G48" i="7"/>
  <c r="E47" i="7"/>
  <c r="C46" i="7"/>
  <c r="C27" i="7"/>
  <c r="D51" i="7"/>
  <c r="F48" i="7"/>
  <c r="D47" i="7"/>
  <c r="C51" i="7"/>
  <c r="G49" i="7"/>
  <c r="E48" i="7"/>
  <c r="C47" i="7"/>
  <c r="G45" i="7"/>
  <c r="F49" i="7"/>
  <c r="D48" i="7"/>
  <c r="F45" i="7"/>
  <c r="G50" i="7"/>
  <c r="E49" i="7"/>
  <c r="C48" i="7"/>
  <c r="G46" i="7"/>
  <c r="E45" i="7"/>
  <c r="F50" i="7"/>
  <c r="D49" i="7"/>
  <c r="F46" i="7"/>
  <c r="D45" i="7"/>
  <c r="G51" i="7"/>
  <c r="E50" i="7"/>
  <c r="C49" i="7"/>
  <c r="G47" i="7"/>
  <c r="E46" i="7"/>
  <c r="C45" i="7"/>
  <c r="F51" i="7"/>
  <c r="D50" i="7"/>
  <c r="F47" i="7"/>
  <c r="D46" i="7"/>
  <c r="F24" i="7"/>
  <c r="F27" i="7" s="1"/>
  <c r="C31" i="7" s="1"/>
  <c r="E27" i="7"/>
  <c r="J21" i="4" l="1"/>
  <c r="J21" i="6"/>
  <c r="L12" i="4"/>
  <c r="L26" i="6"/>
  <c r="K26" i="6"/>
  <c r="K12" i="4"/>
  <c r="C30" i="7"/>
  <c r="C32" i="7" s="1"/>
  <c r="C36" i="7" s="1"/>
  <c r="C39" i="7" s="1"/>
  <c r="C50" i="8"/>
  <c r="D33" i="8"/>
  <c r="C35" i="8" s="1"/>
  <c r="J52" i="4" l="1"/>
  <c r="J31" i="6"/>
  <c r="J17" i="6"/>
  <c r="J16" i="6"/>
  <c r="K21" i="4"/>
  <c r="K21" i="6"/>
  <c r="L21" i="6"/>
  <c r="L21" i="4"/>
  <c r="C33" i="7"/>
  <c r="C49" i="8"/>
  <c r="C38" i="8"/>
  <c r="L52" i="4" l="1"/>
  <c r="L31" i="6"/>
  <c r="L17" i="6"/>
  <c r="L16" i="6"/>
  <c r="K52" i="4"/>
  <c r="K31" i="6"/>
  <c r="K17" i="6"/>
  <c r="K16" i="6"/>
  <c r="B39" i="9"/>
  <c r="C41" i="8"/>
</calcChain>
</file>

<file path=xl/sharedStrings.xml><?xml version="1.0" encoding="utf-8"?>
<sst xmlns="http://schemas.openxmlformats.org/spreadsheetml/2006/main" count="630" uniqueCount="513">
  <si>
    <t>PayPal Holdings, Inc. (PYPL)</t>
  </si>
  <si>
    <t>3-Statement Financial Model &amp; Investment Analysis</t>
  </si>
  <si>
    <t>Equity Research — Investment Recommendation</t>
  </si>
  <si>
    <t>Sector:</t>
  </si>
  <si>
    <t>Financial Technology / Digital Payments</t>
  </si>
  <si>
    <t>Exchange:</t>
  </si>
  <si>
    <t>NASDAQ: PYPL</t>
  </si>
  <si>
    <t>Fiscal Year End:</t>
  </si>
  <si>
    <t>December 31</t>
  </si>
  <si>
    <t>Currency:</t>
  </si>
  <si>
    <t>USD (values in millions unless noted)</t>
  </si>
  <si>
    <t>Analyst:</t>
  </si>
  <si>
    <t>Carlos — Investment Analysis Portfolio Project</t>
  </si>
  <si>
    <t>Date:</t>
  </si>
  <si>
    <t>February 2026</t>
  </si>
  <si>
    <t>Data Sources:</t>
  </si>
  <si>
    <t>SEC EDGAR 10-K Filings, yfinance, Company Reports</t>
  </si>
  <si>
    <t>Historical Period:</t>
  </si>
  <si>
    <t>FY2019 — FY2025 (7 years)</t>
  </si>
  <si>
    <t>Forecast Period:</t>
  </si>
  <si>
    <t>FY2026E — FY2028E (3 years)</t>
  </si>
  <si>
    <t>Scenarios:</t>
  </si>
  <si>
    <t>Base Case / Bull Case / Bear Case</t>
  </si>
  <si>
    <t>Valuation Method:</t>
  </si>
  <si>
    <t>Discounted Cash Flow (DCF) — FCFF</t>
  </si>
  <si>
    <t>RECOMMENDATION</t>
  </si>
  <si>
    <t>To be determined after model completion</t>
  </si>
  <si>
    <t>Target Price: $___  |  Current Price: $___  |  Upside: ___%</t>
  </si>
  <si>
    <t>MODEL NAVIGATION</t>
  </si>
  <si>
    <t>Cover</t>
  </si>
  <si>
    <t>This page — project overview</t>
  </si>
  <si>
    <t>Assumptions</t>
  </si>
  <si>
    <t>All forecast drivers and inputs (start here)</t>
  </si>
  <si>
    <t>Income Statement</t>
  </si>
  <si>
    <t>Historical + projected P&amp;L</t>
  </si>
  <si>
    <t>Balance Sheet</t>
  </si>
  <si>
    <t>Historical + projected BS</t>
  </si>
  <si>
    <t>Cash Flow</t>
  </si>
  <si>
    <t>Historical + projected CF</t>
  </si>
  <si>
    <t>Ratios</t>
  </si>
  <si>
    <t>Financial ratio analysis</t>
  </si>
  <si>
    <t>DCF</t>
  </si>
  <si>
    <t>Discounted Cash Flow valuation</t>
  </si>
  <si>
    <t>Scenarios</t>
  </si>
  <si>
    <t>Bull / Base / Bear comparison</t>
  </si>
  <si>
    <t>Investment Memo</t>
  </si>
  <si>
    <t>Executive summary &amp; recommendation</t>
  </si>
  <si>
    <t>FORMATTING LEGEND</t>
  </si>
  <si>
    <t>Blue text</t>
  </si>
  <si>
    <t>Hardcoded input — editable assumption</t>
  </si>
  <si>
    <t>Black text</t>
  </si>
  <si>
    <t>Formula / calculation</t>
  </si>
  <si>
    <t>Green text</t>
  </si>
  <si>
    <t>Link to another worksheet</t>
  </si>
  <si>
    <t>Yellow background</t>
  </si>
  <si>
    <t>Key assumption needing review</t>
  </si>
  <si>
    <t>PayPal (PYPL) — Model Assumptions</t>
  </si>
  <si>
    <t>All monetary values in USD Millions ($M)</t>
  </si>
  <si>
    <t>Notes / Source</t>
  </si>
  <si>
    <t>2019</t>
  </si>
  <si>
    <t>2020</t>
  </si>
  <si>
    <t>2021</t>
  </si>
  <si>
    <t>2022</t>
  </si>
  <si>
    <t>2023</t>
  </si>
  <si>
    <t>2024</t>
  </si>
  <si>
    <t>2025</t>
  </si>
  <si>
    <t>2026E</t>
  </si>
  <si>
    <t>2027E</t>
  </si>
  <si>
    <t>2028E</t>
  </si>
  <si>
    <t>Actual</t>
  </si>
  <si>
    <t>Forecast</t>
  </si>
  <si>
    <t>REVENUE DRIVERS</t>
  </si>
  <si>
    <t>Total Revenue ($M)</t>
  </si>
  <si>
    <t>Post-Q4'25: ~3% '26, ~4% '27, ~5% '28 recovery</t>
  </si>
  <si>
    <t xml:space="preserve">  Revenue Growth (%)</t>
  </si>
  <si>
    <t>Weak '26 guidance; gradual recovery assumed</t>
  </si>
  <si>
    <t xml:space="preserve">  Gross Margin (%)</t>
  </si>
  <si>
    <t>Flat near-term; modest expansion from mix shift</t>
  </si>
  <si>
    <t>OPERATING EXPENSE DRIVERS (as % of Revenue)</t>
  </si>
  <si>
    <t>Total OpEx (% of Revenue)</t>
  </si>
  <si>
    <t>CEO transition costs; limited leverage near-term</t>
  </si>
  <si>
    <t xml:space="preserve">  Operating Margin (%)</t>
  </si>
  <si>
    <t>Gross Margin - Total OpEx %; slow recovery</t>
  </si>
  <si>
    <t xml:space="preserve">  D&amp;A (% of Revenue)</t>
  </si>
  <si>
    <t>Stable; slight decline</t>
  </si>
  <si>
    <t xml:space="preserve">  SBC (% of Revenue)</t>
  </si>
  <si>
    <t>Elevated during CEO transition</t>
  </si>
  <si>
    <t>TAX &amp; INTEREST</t>
  </si>
  <si>
    <t>Effective Tax Rate (%)</t>
  </si>
  <si>
    <t>Assumed stable effective rate</t>
  </si>
  <si>
    <t>Interest Expense ($M)</t>
  </si>
  <si>
    <t>Slightly higher; debt remains elevated</t>
  </si>
  <si>
    <t>BALANCE SHEET DRIVERS</t>
  </si>
  <si>
    <t>Capital Expenditures ($M)</t>
  </si>
  <si>
    <t>Mgmt guided ~$1B '26; investment cycle</t>
  </si>
  <si>
    <t xml:space="preserve">  CapEx (% of Revenue)</t>
  </si>
  <si>
    <t>Higher investment cycle; normalizes by '28</t>
  </si>
  <si>
    <t>Depreciation &amp; Amortization ($M)</t>
  </si>
  <si>
    <t>Source: CF statement; stable</t>
  </si>
  <si>
    <t>Net PP&amp;E ($M)</t>
  </si>
  <si>
    <t>WORKING CAPITAL DRIVERS</t>
  </si>
  <si>
    <t>Current Ratio</t>
  </si>
  <si>
    <t>DEBT &amp; CAPITAL STRUCTURE</t>
  </si>
  <si>
    <t>Long-Term Debt ($M)</t>
  </si>
  <si>
    <t>Minimal deleveraging; focus on buybacks</t>
  </si>
  <si>
    <t xml:space="preserve">  Debt / Equity</t>
  </si>
  <si>
    <t>Total debt / stockholders equity</t>
  </si>
  <si>
    <t xml:space="preserve">  Net Debt ($M)</t>
  </si>
  <si>
    <t>Total Debt - Cash</t>
  </si>
  <si>
    <t>Share Repurchases ($M)</t>
  </si>
  <si>
    <t>Mgmt guided ~$6B/yr; maintained</t>
  </si>
  <si>
    <t>DCF VALUATION INPUTS</t>
  </si>
  <si>
    <t>Risk-Free Rate (%)</t>
  </si>
  <si>
    <t>10Y US Treasury yield</t>
  </si>
  <si>
    <t>Equity Risk Premium (%)</t>
  </si>
  <si>
    <t>Damodaran 2025 estimate</t>
  </si>
  <si>
    <t>Beta (levered)</t>
  </si>
  <si>
    <t>Elevated: CEO change, competitive pressure</t>
  </si>
  <si>
    <t>Cost of Equity (CAPM) (%)</t>
  </si>
  <si>
    <t>← formula</t>
  </si>
  <si>
    <t>Pre-Tax Cost of Debt (%)</t>
  </si>
  <si>
    <t>Tax Rate for WACC (%)</t>
  </si>
  <si>
    <t>Same as effective tax rate</t>
  </si>
  <si>
    <t>Target Debt Weight (%)</t>
  </si>
  <si>
    <t>Based on current capital structure</t>
  </si>
  <si>
    <t>Target Equity Weight (%)</t>
  </si>
  <si>
    <t>WACC (%)</t>
  </si>
  <si>
    <t>Terminal Growth Rate (%)</t>
  </si>
  <si>
    <t>Conservative: below GDP, competitive risk</t>
  </si>
  <si>
    <t>Exit EV/EBITDA Multiple</t>
  </si>
  <si>
    <t>Alternative terminal value method</t>
  </si>
  <si>
    <t>KEY CALCULATED METRICS (for reference — formulas in other sheets)</t>
  </si>
  <si>
    <t>Free Cash Flow ($M)</t>
  </si>
  <si>
    <t xml:space="preserve">  FCF Margin (%)</t>
  </si>
  <si>
    <t>Strong cash generation — key PayPal strength</t>
  </si>
  <si>
    <t>EBITDA ($M)</t>
  </si>
  <si>
    <t xml:space="preserve">  EBITDA Margin (%)</t>
  </si>
  <si>
    <t xml:space="preserve">  ROE (%)</t>
  </si>
  <si>
    <t xml:space="preserve">  ROIC (%)</t>
  </si>
  <si>
    <t>PayPal (PYPL) — Consolidated Income Statement</t>
  </si>
  <si>
    <t>USD Millions ($M) except per-share data</t>
  </si>
  <si>
    <t>Notes</t>
  </si>
  <si>
    <t>REVENUE</t>
  </si>
  <si>
    <t>Total Revenue</t>
  </si>
  <si>
    <t>Source: Assumptions tab</t>
  </si>
  <si>
    <t xml:space="preserve">  YoY Growth (%)</t>
  </si>
  <si>
    <t>COST OF REVENUE</t>
  </si>
  <si>
    <t>Cost of Revenue</t>
  </si>
  <si>
    <t>Revenue × (1 - Gross Margin %)</t>
  </si>
  <si>
    <t xml:space="preserve">  % of Revenue</t>
  </si>
  <si>
    <t>Gross Profit</t>
  </si>
  <si>
    <t>Revenue - COGS</t>
  </si>
  <si>
    <t>Should match Assumptions tab gross margin</t>
  </si>
  <si>
    <t>OPERATING EXPENSES</t>
  </si>
  <si>
    <t>Total Operating Expenses</t>
  </si>
  <si>
    <t>Revenue × Total OpEx % (from Assumptions)</t>
  </si>
  <si>
    <t>Operating Income (EBIT)</t>
  </si>
  <si>
    <t>Gross Profit - Operating Expenses</t>
  </si>
  <si>
    <t>NON-OPERATING ITEMS</t>
  </si>
  <si>
    <t>Interest Income</t>
  </si>
  <si>
    <t>Lower rates headwind per Q4'25 guidance</t>
  </si>
  <si>
    <t>Interest Expense</t>
  </si>
  <si>
    <t>From Assumptions tab (shown as negative)</t>
  </si>
  <si>
    <t>Other Income (Expense)</t>
  </si>
  <si>
    <t>Volatile &amp; unpredictable; conservatively set to $0</t>
  </si>
  <si>
    <t>Income Before Taxes</t>
  </si>
  <si>
    <t>EBIT + Interest Inc + Interest Exp + Other</t>
  </si>
  <si>
    <t>TAXES</t>
  </si>
  <si>
    <t>Income Tax Expense</t>
  </si>
  <si>
    <t>EBT × Effective Tax Rate (from Assumptions)</t>
  </si>
  <si>
    <t xml:space="preserve">  Effective Tax Rate (%)</t>
  </si>
  <si>
    <t>Net Income</t>
  </si>
  <si>
    <t>EBT - Tax Expense</t>
  </si>
  <si>
    <t xml:space="preserve">  Net Margin (%)</t>
  </si>
  <si>
    <t>PER SHARE DATA</t>
  </si>
  <si>
    <t>Diluted Shares Outstanding (M)</t>
  </si>
  <si>
    <t>Accelerated buyback at lower share price</t>
  </si>
  <si>
    <t>Diluted EPS</t>
  </si>
  <si>
    <t>Net Income / Diluted Shares</t>
  </si>
  <si>
    <t xml:space="preserve">  EPS Growth (%)</t>
  </si>
  <si>
    <t>Row Reference Map (for model linking):</t>
  </si>
  <si>
    <t>Revenue: Row 7</t>
  </si>
  <si>
    <t>COGS: Row 12</t>
  </si>
  <si>
    <t>Gross Profit: Row 15</t>
  </si>
  <si>
    <t>OpEx: Row 20</t>
  </si>
  <si>
    <t>Operating Income: Row 23</t>
  </si>
  <si>
    <t>EBT: Row 32</t>
  </si>
  <si>
    <t>Tax: Row 36</t>
  </si>
  <si>
    <t>Net Income: Row 39</t>
  </si>
  <si>
    <t>Shares: Row 45</t>
  </si>
  <si>
    <t>EPS: Row 46</t>
  </si>
  <si>
    <t>PayPal (PYPL) — Consolidated Balance Sheet</t>
  </si>
  <si>
    <t>USD Millions ($M) — As of December 31</t>
  </si>
  <si>
    <t>CURRENT ASSETS</t>
  </si>
  <si>
    <t>Cash &amp; Cash Equivalents</t>
  </si>
  <si>
    <t>LINKED to Cash Flow Ending Balance (model is closed)</t>
  </si>
  <si>
    <t>Short-Term Investments</t>
  </si>
  <si>
    <t>Held constant (no material change assumed)</t>
  </si>
  <si>
    <t>Accounts Receivable</t>
  </si>
  <si>
    <t>Grows proportionally with revenue</t>
  </si>
  <si>
    <t>Customer Accounts &amp; Other Current</t>
  </si>
  <si>
    <t>Grows ~3% (tied to payment volume growth)</t>
  </si>
  <si>
    <t>Total Current Assets</t>
  </si>
  <si>
    <t>Sum of current asset items</t>
  </si>
  <si>
    <t>NON-CURRENT ASSETS</t>
  </si>
  <si>
    <t>Property &amp; Equipment, Net</t>
  </si>
  <si>
    <t>Prior PP&amp;E + CapEx - D&amp;A</t>
  </si>
  <si>
    <t>Goodwill</t>
  </si>
  <si>
    <t>Held constant (no acquisitions assumed)</t>
  </si>
  <si>
    <t>Intangible Assets</t>
  </si>
  <si>
    <t>Other Non-Current Assets</t>
  </si>
  <si>
    <t>Held stable; immaterial changes assumed</t>
  </si>
  <si>
    <t>Total Assets</t>
  </si>
  <si>
    <t>Current Assets + Non-Current Assets</t>
  </si>
  <si>
    <t>CURRENT LIABILITIES</t>
  </si>
  <si>
    <t>Accounts Payable</t>
  </si>
  <si>
    <t>Accrued Expenses &amp; Other Current</t>
  </si>
  <si>
    <t>Grows ~3% annually; estimate</t>
  </si>
  <si>
    <t>Total Current Liabilities</t>
  </si>
  <si>
    <t>Sum of current liability items</t>
  </si>
  <si>
    <t>NON-CURRENT LIABILITIES</t>
  </si>
  <si>
    <t>Long-Term Debt</t>
  </si>
  <si>
    <t>From Assumptions tab (gradual deleveraging)</t>
  </si>
  <si>
    <t>Other Non-Current Liabilities</t>
  </si>
  <si>
    <t>Held stable</t>
  </si>
  <si>
    <t>Total Liabilities</t>
  </si>
  <si>
    <t>Current Liab + Non-Current Liab</t>
  </si>
  <si>
    <t>STOCKHOLDERS' EQUITY</t>
  </si>
  <si>
    <t>Common Stock &amp; APIC</t>
  </si>
  <si>
    <t>Prior + SBC (from Assumptions SBC pct x Revenue)</t>
  </si>
  <si>
    <t>Retained Earnings</t>
  </si>
  <si>
    <t>Prior RE + Net Income (buybacks via Treasury Stock)</t>
  </si>
  <si>
    <t>Treasury Stock</t>
  </si>
  <si>
    <t>Prior Treasury - Buybacks (more negative)</t>
  </si>
  <si>
    <t>AOCI &amp; Other Adjustments</t>
  </si>
  <si>
    <t>Held constant (unpredictable, immaterial)</t>
  </si>
  <si>
    <t>Total Stockholders' Equity</t>
  </si>
  <si>
    <t>APIC + RE + Treasury + AOCI</t>
  </si>
  <si>
    <t>Total Liabilities &amp; Equity</t>
  </si>
  <si>
    <t>Total Liabilities + Total Equity</t>
  </si>
  <si>
    <t>BALANCE CHECK</t>
  </si>
  <si>
    <t>Difference (Assets - L&amp;E)</t>
  </si>
  <si>
    <t>MUST BE $0 — model integrity check</t>
  </si>
  <si>
    <t>✓ If all zeros → model is balanced</t>
  </si>
  <si>
    <t>✗ If non-zero → check formulas for errors</t>
  </si>
  <si>
    <t>Row Reference Map (for Cash Flow linking):</t>
  </si>
  <si>
    <t>Cash: Row 7</t>
  </si>
  <si>
    <t>ST Investments: Row 8</t>
  </si>
  <si>
    <t>AR: Row 9</t>
  </si>
  <si>
    <t>Customer Accts: Row 10</t>
  </si>
  <si>
    <t>Total Current Assets: Row 12</t>
  </si>
  <si>
    <t>PP&amp;E: Row 16</t>
  </si>
  <si>
    <t>Goodwill: Row 17</t>
  </si>
  <si>
    <t>Total Assets: Row 21</t>
  </si>
  <si>
    <t>AP: Row 26</t>
  </si>
  <si>
    <t>Accrued: Row 27</t>
  </si>
  <si>
    <t>Total Current Liab: Row 29</t>
  </si>
  <si>
    <t>LT Debt: Row 33</t>
  </si>
  <si>
    <t>Total Liabilities: Row 36</t>
  </si>
  <si>
    <t>APIC: Row 41</t>
  </si>
  <si>
    <t>Retained Earnings: Row 42</t>
  </si>
  <si>
    <t>Treasury: Row 43</t>
  </si>
  <si>
    <t>Total Equity: Row 46</t>
  </si>
  <si>
    <t>Total L&amp;E: Row 48</t>
  </si>
  <si>
    <t>Balance Check: Row 52</t>
  </si>
  <si>
    <t>PayPal (PYPL) — Consolidated Cash Flow Statement</t>
  </si>
  <si>
    <t>USD Millions ($M)</t>
  </si>
  <si>
    <t>CASH FROM OPERATING ACTIVITIES</t>
  </si>
  <si>
    <t>From Income Statement (green = cross-sheet link)</t>
  </si>
  <si>
    <t>Adjustments for non-cash items:</t>
  </si>
  <si>
    <t xml:space="preserve">  (+) Depreciation &amp; Amortization</t>
  </si>
  <si>
    <t>From Assumptions tab (non-cash add-back)</t>
  </si>
  <si>
    <t xml:space="preserve">  (+) Stock-Based Compensation</t>
  </si>
  <si>
    <t>Revenue x SBC % (non-cash add-back)</t>
  </si>
  <si>
    <t>Changes in working capital:</t>
  </si>
  <si>
    <t xml:space="preserve">  (Inc)/Dec in Accounts Receivable</t>
  </si>
  <si>
    <t>Negative when AR increases (cash tied up)</t>
  </si>
  <si>
    <t xml:space="preserve">  (Inc)/Dec in Customer Accounts</t>
  </si>
  <si>
    <t>Large PayPal-specific item (customer funds)</t>
  </si>
  <si>
    <t xml:space="preserve">  Inc/(Dec) in Accounts Payable</t>
  </si>
  <si>
    <t>Positive when AP increases (cash preserved)</t>
  </si>
  <si>
    <t xml:space="preserve">  Inc/(Dec) in Accrued Expenses</t>
  </si>
  <si>
    <t>Positive when accrued liabilities increase</t>
  </si>
  <si>
    <t xml:space="preserve">  Other Operating Adjustments</t>
  </si>
  <si>
    <t>Conservatively zero for forecast</t>
  </si>
  <si>
    <t>Cash from Operations</t>
  </si>
  <si>
    <t>NI + Non-cash + Working Capital Changes</t>
  </si>
  <si>
    <t xml:space="preserve">  CFO Margin (% of Revenue)</t>
  </si>
  <si>
    <t>CASH FROM INVESTING ACTIVITIES</t>
  </si>
  <si>
    <t>Capital Expenditures</t>
  </si>
  <si>
    <t>From Assumptions (shown as negative)</t>
  </si>
  <si>
    <t>Other Investing Activities</t>
  </si>
  <si>
    <t>Conservatively zero (no acquisitions assumed)</t>
  </si>
  <si>
    <t>Cash from Investing</t>
  </si>
  <si>
    <t>CapEx + Other Investing</t>
  </si>
  <si>
    <t>CASH FROM FINANCING ACTIVITIES</t>
  </si>
  <si>
    <t>Debt Issuance / (Repayment)</t>
  </si>
  <si>
    <t>Change in LT Debt from Balance Sheet</t>
  </si>
  <si>
    <t>Share Repurchases</t>
  </si>
  <si>
    <t>From Assumptions (shown as negative cash outflow)</t>
  </si>
  <si>
    <t>Other Financing Activities</t>
  </si>
  <si>
    <t>Set to zero (no BS counterpart; immaterial)</t>
  </si>
  <si>
    <t>Cash from Financing</t>
  </si>
  <si>
    <t>Debt changes + Buybacks + Other</t>
  </si>
  <si>
    <t>CASH SUMMARY</t>
  </si>
  <si>
    <t>Net Change in Cash</t>
  </si>
  <si>
    <t>CFO + CFI + CFF</t>
  </si>
  <si>
    <t>Beginning Cash Balance</t>
  </si>
  <si>
    <t>Prior year ending cash balance</t>
  </si>
  <si>
    <t>Ending Cash Balance</t>
  </si>
  <si>
    <t>THIS LINKS BACK TO BALANCE SHEET CASH ROW</t>
  </si>
  <si>
    <t>FREE CASH FLOW (for DCF)</t>
  </si>
  <si>
    <t>Free Cash Flow (CFO - CapEx)</t>
  </si>
  <si>
    <t>Key input for DCF valuation</t>
  </si>
  <si>
    <t xml:space="preserve">  FCF Margin (% of Revenue)</t>
  </si>
  <si>
    <t>FCF per Share</t>
  </si>
  <si>
    <t>FCF / Diluted Shares (from IS)</t>
  </si>
  <si>
    <t>Row Reference Map (for DCF linking):</t>
  </si>
  <si>
    <t>Net Income: Row 7</t>
  </si>
  <si>
    <t>D&amp;A: Row 10</t>
  </si>
  <si>
    <t>SBC: Row 11</t>
  </si>
  <si>
    <t>CFO: Row 20</t>
  </si>
  <si>
    <t>CapEx: Row 25</t>
  </si>
  <si>
    <t>CFI: Row 28</t>
  </si>
  <si>
    <t>Buybacks: Row 33</t>
  </si>
  <si>
    <t>CFF: Row 36</t>
  </si>
  <si>
    <t>Net Change: Row 41</t>
  </si>
  <si>
    <t>Beg Cash: Row 43</t>
  </si>
  <si>
    <t>End Cash: Row 44</t>
  </si>
  <si>
    <t>FCF: Row 49</t>
  </si>
  <si>
    <t>PayPal (PYPL) — Financial Ratio Analysis</t>
  </si>
  <si>
    <t>All ratios calculated from linked financial statements</t>
  </si>
  <si>
    <t>Formula</t>
  </si>
  <si>
    <t>PROFITABILITY</t>
  </si>
  <si>
    <t>Gross Margin</t>
  </si>
  <si>
    <t>Gross Profit / Revenue</t>
  </si>
  <si>
    <t>Operating Margin</t>
  </si>
  <si>
    <t>EBIT / Revenue</t>
  </si>
  <si>
    <t>Net Margin</t>
  </si>
  <si>
    <t>Net Income / Revenue</t>
  </si>
  <si>
    <t>EBITDA Margin</t>
  </si>
  <si>
    <t>(EBIT + D&amp;A) / Revenue</t>
  </si>
  <si>
    <t>FCF Margin</t>
  </si>
  <si>
    <t>Free Cash Flow / Revenue</t>
  </si>
  <si>
    <t>RETURNS</t>
  </si>
  <si>
    <t>Return on Equity (ROE)</t>
  </si>
  <si>
    <t>Net Income / Total Equity</t>
  </si>
  <si>
    <t>Return on Assets (ROA)</t>
  </si>
  <si>
    <t>Net Income / Total Assets</t>
  </si>
  <si>
    <t>ROIC</t>
  </si>
  <si>
    <t>NOPAT / Invested Capital</t>
  </si>
  <si>
    <t>LIQUIDITY</t>
  </si>
  <si>
    <t>Current Assets / Current Liabilities</t>
  </si>
  <si>
    <t>LEVERAGE</t>
  </si>
  <si>
    <t>Debt / Equity</t>
  </si>
  <si>
    <t>LT Debt / Total Equity</t>
  </si>
  <si>
    <t>Net Debt / EBITDA</t>
  </si>
  <si>
    <t>(LT Debt - Cash) / EBITDA</t>
  </si>
  <si>
    <t>Interest Coverage</t>
  </si>
  <si>
    <t>EBIT / Interest Expense</t>
  </si>
  <si>
    <t>EFFICIENCY</t>
  </si>
  <si>
    <t>Asset Turnover</t>
  </si>
  <si>
    <t>Revenue / Total Assets</t>
  </si>
  <si>
    <t>CapEx / Revenue</t>
  </si>
  <si>
    <t>Capital intensity</t>
  </si>
  <si>
    <t>GROWTH</t>
  </si>
  <si>
    <t>Revenue Growth (YoY)</t>
  </si>
  <si>
    <t>YoY Revenue Growth</t>
  </si>
  <si>
    <t>Net Income Growth (YoY)</t>
  </si>
  <si>
    <t>YoY Net Income Growth</t>
  </si>
  <si>
    <t>EPS Growth (YoY)</t>
  </si>
  <si>
    <t>YoY EPS Growth (key for investors)</t>
  </si>
  <si>
    <t>PayPal (PYPL) — DCF Valuation</t>
  </si>
  <si>
    <t>Discounted Cash Flow — Free Cash Flow to Firm (FCFF)</t>
  </si>
  <si>
    <t>WACC CALCULATION</t>
  </si>
  <si>
    <t>Risk-Free Rate (Rf)</t>
  </si>
  <si>
    <t>10Y UST yield</t>
  </si>
  <si>
    <t>Equity Risk Premium (ERP)</t>
  </si>
  <si>
    <t>Damodaran 2025</t>
  </si>
  <si>
    <t>Beta (β)</t>
  </si>
  <si>
    <t>Elevated: CEO change + competition</t>
  </si>
  <si>
    <t>Cost of Equity (Ke)</t>
  </si>
  <si>
    <t>CAPM formula</t>
  </si>
  <si>
    <t>Pre-Tax Cost of Debt (Kd)</t>
  </si>
  <si>
    <t>Int Exp / Avg Debt</t>
  </si>
  <si>
    <t>Tax Rate (t)</t>
  </si>
  <si>
    <t>Effective tax rate</t>
  </si>
  <si>
    <t>After-Tax Cost of Debt</t>
  </si>
  <si>
    <t>Kd × (1 - t)</t>
  </si>
  <si>
    <t>Debt Weight (D/V)</t>
  </si>
  <si>
    <t>Target capital structure</t>
  </si>
  <si>
    <t>Equity Weight (E/V)</t>
  </si>
  <si>
    <t>1 - Debt Weight</t>
  </si>
  <si>
    <t>WACC</t>
  </si>
  <si>
    <t>THE discount rate</t>
  </si>
  <si>
    <t>FREE CASH FLOW PROJECTION</t>
  </si>
  <si>
    <t>Terminal</t>
  </si>
  <si>
    <t>Terminal Growth Rate</t>
  </si>
  <si>
    <t>Key assumption — sensitivity tested below</t>
  </si>
  <si>
    <t>Terminal Value ($M)</t>
  </si>
  <si>
    <t>FCF_2028 × (1+g) / (WACC-g)</t>
  </si>
  <si>
    <t>Discount Factor</t>
  </si>
  <si>
    <t>PV of Free Cash Flow ($M)</t>
  </si>
  <si>
    <t>EQUITY VALUE BRIDGE</t>
  </si>
  <si>
    <t>PV of Projected FCFs ($M)</t>
  </si>
  <si>
    <t>PV of Terminal Value ($M)</t>
  </si>
  <si>
    <t>Enterprise Value ($M)</t>
  </si>
  <si>
    <t xml:space="preserve">  Terminal Value as % of EV</t>
  </si>
  <si>
    <t>Should be 60-85% for mature company</t>
  </si>
  <si>
    <t>(−) Net Debt ($M)</t>
  </si>
  <si>
    <t>LT Debt - Cash (latest actual: FY2025)</t>
  </si>
  <si>
    <t>Equity Value ($M)</t>
  </si>
  <si>
    <t>Latest actual (FY2025)</t>
  </si>
  <si>
    <t>Implied Share Price</t>
  </si>
  <si>
    <t>SENSITIVITY ANALYSIS — Implied Share Price</t>
  </si>
  <si>
    <t>WACC (rows) vs Terminal Growth Rate (columns)</t>
  </si>
  <si>
    <t>WACC \ TGR →</t>
  </si>
  <si>
    <t>Yellow cell = base case (matches implied share price above)</t>
  </si>
  <si>
    <t>This table shows how sensitive the valuation is to WACC and terminal growth assumptions</t>
  </si>
  <si>
    <t>PayPal (PYPL) — Scenario Analysis</t>
  </si>
  <si>
    <t>Three scenarios with probability-weighted target price</t>
  </si>
  <si>
    <t>Bull Case</t>
  </si>
  <si>
    <t>Base Case</t>
  </si>
  <si>
    <t>Bear Case</t>
  </si>
  <si>
    <t>Narrative</t>
  </si>
  <si>
    <t>New CEO executes turnaround;
branded checkout recovers;
Venmo monetization accelerates</t>
  </si>
  <si>
    <t>Modest growth continues;
branded checkout stabilizes;
cost discipline maintained</t>
  </si>
  <si>
    <t>Branded checkout declines;
Apple/Google take share;
margin compression from competition</t>
  </si>
  <si>
    <t>KEY ASSUMPTIONS (FY2028E)</t>
  </si>
  <si>
    <t>Revenue Growth '26-'28 Avg</t>
  </si>
  <si>
    <t>6.0%</t>
  </si>
  <si>
    <t>4.0%</t>
  </si>
  <si>
    <t>1.5%</t>
  </si>
  <si>
    <t>FY2028E Revenue ($M)</t>
  </si>
  <si>
    <t>Operating Margin '28E</t>
  </si>
  <si>
    <t>22.0%</t>
  </si>
  <si>
    <t>19.5%</t>
  </si>
  <si>
    <t>15.5%</t>
  </si>
  <si>
    <t>FY2028E Net Income ($M)</t>
  </si>
  <si>
    <t>FY2028E FCF ($M)</t>
  </si>
  <si>
    <t>(from model)</t>
  </si>
  <si>
    <t>CapEx ($M/yr avg)</t>
  </si>
  <si>
    <t>2.5%</t>
  </si>
  <si>
    <t>1.0%</t>
  </si>
  <si>
    <t>8.5%</t>
  </si>
  <si>
    <t>9.9%</t>
  </si>
  <si>
    <t>11.5%</t>
  </si>
  <si>
    <t>VALUATION OUTPUT</t>
  </si>
  <si>
    <t>FY2028E Free Cash Flow ($M)</t>
  </si>
  <si>
    <t>(-) Net Debt ($M)</t>
  </si>
  <si>
    <t>Diluted Shares (M)</t>
  </si>
  <si>
    <t>IMPLIED SHARE PRICE PER SCENARIO</t>
  </si>
  <si>
    <t>PROBABILITY-WEIGHTED TARGET PRICE</t>
  </si>
  <si>
    <t>Probability Weight</t>
  </si>
  <si>
    <t xml:space="preserve">  Sum (must = 100%)</t>
  </si>
  <si>
    <t>Weighted Contribution</t>
  </si>
  <si>
    <t>TARGET PRICE</t>
  </si>
  <si>
    <t>Current Market Price</t>
  </si>
  <si>
    <t>As of Feb 9, 2026 (editable)</t>
  </si>
  <si>
    <t>Implied Upside / (Downside)</t>
  </si>
  <si>
    <t>Rating</t>
  </si>
  <si>
    <t>Decision Rule:</t>
  </si>
  <si>
    <t>Upside &gt; 20% = BUY | &gt; -10% = HOLD | else SELL</t>
  </si>
  <si>
    <t>VALUATION RANGE (Football Field)</t>
  </si>
  <si>
    <t>Metric</t>
  </si>
  <si>
    <t>Price</t>
  </si>
  <si>
    <t>Bear Case DCF</t>
  </si>
  <si>
    <t>Analyst Consensus (avg)</t>
  </si>
  <si>
    <t>Probability-Weighted Target</t>
  </si>
  <si>
    <t>Base Case DCF</t>
  </si>
  <si>
    <t>Bull Case DCF</t>
  </si>
  <si>
    <t>INVESTMENT MEMO — PayPal Holdings, Inc. (NASDAQ: PYPL)</t>
  </si>
  <si>
    <t>Equity Research | February 2026 | Analyst: Carlos</t>
  </si>
  <si>
    <t>EXECUTIVE SUMMARY</t>
  </si>
  <si>
    <t>PayPal Holdings, Inc. is the world's largest digital payments platform, processing $1.8 trillion in TPV across ~200 markets in FY2025. The company is at an inflection point: Q4 2025 results missed expectations, the board replaced CEO Alex Chriss with HP's Enrique Lores, and 2026 guidance disappointed with flat-to-declining EPS projections. The stock has fallen ~50% from its 52-week high to ~$40.</t>
  </si>
  <si>
    <t>Despite near-term headwinds, PayPal generates strong free cash flow (~$7B annually), maintains a disciplined $6B/year buyback program, and owns valuable network effects across 438M active accounts. Venmo revenue grew 20% to $1.7B and BNPL TPV surpassed $40B. The question is whether the new CEO can stabilize branded checkout and fend off Apple Pay/Google Pay competition.</t>
  </si>
  <si>
    <t>KEY FINANCIAL HIGHLIGHTS (FY2025 Actual)</t>
  </si>
  <si>
    <t>Revenue: $33.2B (+4% YoY) | Operating Income: $6.0B (18.1% margin) | Net Income: $4.3B | EPS: $4.58</t>
  </si>
  <si>
    <t>Free Cash Flow: $6.6B (19.9% FCF margin) | Cash: $8.0B | LT Debt: $10.0B | Net Debt: $1.9B</t>
  </si>
  <si>
    <t>Shares outstanding declined from 1,188M (2019) to 941M (2025) via aggressive buybacks — 21% reduction in 6 years</t>
  </si>
  <si>
    <t>INVESTMENT THESIS</t>
  </si>
  <si>
    <t>The bull case rests on four pillars:</t>
  </si>
  <si>
    <t xml:space="preserve">    1. Valuation gap: Trading at ~8x trailing FCF, PayPal is priced like a declining business while still growing revenue 4%/year and generating world-class cash flow.</t>
  </si>
  <si>
    <t xml:space="preserve">    2. Buyback machine: At $40/share, the $6B annual buyback retires ~15% of shares per year — a powerful EPS growth driver regardless of top-line performance.</t>
  </si>
  <si>
    <t xml:space="preserve">    3. Venmo monetization: The 100M-user platform grew revenue 20% and is on track to exceed $2B. Debit card TPV +50%, Pay with Venmo TPV +32%.</t>
  </si>
  <si>
    <t xml:space="preserve">    4. New leadership catalyst: Enrique Lores brings operational discipline from HP. The board's willingness to change CEOs shows urgency to create value.</t>
  </si>
  <si>
    <t>KEY RISKS</t>
  </si>
  <si>
    <t xml:space="preserve">    1. Branded checkout erosion: Online branded checkout growth decelerated to 1% in Q4 from 6% a year earlier. Apple Pay and Google Pay are gaining share at checkout.</t>
  </si>
  <si>
    <t xml:space="preserve">    2. CEO transition risk: Third CEO in 3 years. Lores has no payments experience. Strategic direction uncertainty during transition could last 12+ months.</t>
  </si>
  <si>
    <t xml:space="preserve">    3. Macro headwinds: Management noted pressure from lower/middle-income consumers cutting back discretionary spending. Rising competition + weak consumer = margin risk.</t>
  </si>
  <si>
    <t xml:space="preserve">    4. Take rate compression: Transaction take rate fell 8 basis points to 1.65% in Q4. Strategic repricing and Venmo/enterprise mix shift continue to pressure unit economics.</t>
  </si>
  <si>
    <t xml:space="preserve">    5. Guidance withdrawn: Management withdrew the 2027 outlook from Investor Day and will only guide one year at a time — a negative signal about visibility.</t>
  </si>
  <si>
    <t>VALUATION SUMMARY</t>
  </si>
  <si>
    <t>Methodology: 3-year DCF (FCFF) with terminal value via Gordon Growth Model. Three scenarios with probability weighting.</t>
  </si>
  <si>
    <t xml:space="preserve">    Bull Case (20% probability): Revenue recovers to 6% growth, margins expand to 22%, FCF ~$8.5B by 2028. WACC 8.5%, TGR 2.5%.</t>
  </si>
  <si>
    <t xml:space="preserve">    Base Case (40% probability): Revenue grows 3-5%, margins stabilize at ~19.5%, FCF ~$5.3B by 2028. WACC 9.9%, TGR 1.5%.</t>
  </si>
  <si>
    <t xml:space="preserve">    Bear Case (40% probability): Revenue stagnates at 1-2%, margins compress to 15.5%, FCF ~$3.5B by 2028. WACC 11.5%, TGR 1.0%.</t>
  </si>
  <si>
    <t xml:space="preserve">    Note: The high Bear Case probability (40%) reflects genuine uncertainty around competitive positioning, CEO transition, and consumer spending weakness. The market appears to be pricing in a scenario close to the Bear Case.</t>
  </si>
  <si>
    <t>PayPal represents a contrarian value opportunity with significant margin of safety. The stock is priced for permanent decline, yet the company generates best-in-class FCF, is aggressively reducing shares outstanding, and has multiple levers for revenue diversification (Venmo, BNPL, enterprise payments, agentic commerce). The primary risk is execution under new leadership.</t>
  </si>
  <si>
    <t>This is NOT a high-conviction BUY given the CEO transition uncertainty. Position sizing should reflect the wide range of outcomes shown in the scenario analysis. The thesis requires monitoring branded checkout trends and Lores's strategic direction over the next 2-3 quarters.</t>
  </si>
  <si>
    <t>CATALYST TIMELINE</t>
  </si>
  <si>
    <t xml:space="preserve">    March 1, 2026: Enrique Lores officially starts as CEO</t>
  </si>
  <si>
    <t xml:space="preserve">    May 2026: Q1 2026 earnings — first report under new leadership direction</t>
  </si>
  <si>
    <t xml:space="preserve">    H2 2026: Expected strategic review / new Investor Day under Lores</t>
  </si>
  <si>
    <t xml:space="preserve">    2027: Full year under new CEO — execution proof point</t>
  </si>
  <si>
    <t>METHODOLOGY &amp; SOURCES</t>
  </si>
  <si>
    <t>Financial data: SEC EDGAR 10-K filings (FY2019-2025), yfinance API, PayPal Q4 2025 earnings release (Feb 3, 2026)</t>
  </si>
  <si>
    <t>Model: 3-statement financial model (IS/BS/CF fully linked) with 3-year forecast (FY2026E-2028E)</t>
  </si>
  <si>
    <t>Valuation: Discounted Cash Flow (FCFF), Gordon Growth terminal value, WACC via CAPM</t>
  </si>
  <si>
    <t>Scenario analysis: Bull/Base/Bear with probability-weighted target price</t>
  </si>
  <si>
    <t>Tools: Python (data extraction + SQL loading), Excel (financial model), Power BI (dashboard — forthcoming)</t>
  </si>
  <si>
    <t>DISCLAIMER</t>
  </si>
  <si>
    <t>This analysis is prepared for educational and portfolio demonstration purposes only. It does not constitute investment advice. The author has no position in PYPL and does not intend to initiate one within 72 hours of this publication. All projections are forward-looking estimates subject to significant uncertainty.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</si>
</sst>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quot;-&quot;"/>
    <numFmt numFmtId="165" formatCode="0.0%;\(0.0%\);&quot;-&quot;"/>
    <numFmt numFmtId="166" formatCode="0.0&quot;x&quot;"/>
    <numFmt numFmtId="167" formatCode="#,##0.00;\(#,##0.00\);&quot;-&quot;"/>
    <numFmt numFmtId="168" formatCode="0.0%"/>
    <numFmt numFmtId="169" formatCode="0.0000"/>
    <numFmt numFmtId="170" formatCode="\$#,##0.00"/>
  </numFmts>
  <fonts count="49" x14ac:knownFonts="1">
    <font>
      <sz val="11"/>
      <color theme="1"/>
      <name val="Calibri"/>
      <family val="2"/>
      <scheme val="minor"/>
    </font>
    <font>
      <b/>
      <sz val="20"/>
      <color rgb="FF000000"/>
      <name val="Arial"/>
    </font>
    <font>
      <sz val="14"/>
      <color rgb="FF444444"/>
      <name val="Arial"/>
    </font>
    <font>
      <i/>
      <sz val="11"/>
      <color rgb="FF666666"/>
      <name val="Arial"/>
    </font>
    <font>
      <b/>
      <sz val="12"/>
      <color rgb="FF444444"/>
      <name val="Arial"/>
    </font>
    <font>
      <sz val="12"/>
      <color rgb="FF000000"/>
      <name val="Arial"/>
    </font>
    <font>
      <b/>
      <sz val="14"/>
      <color rgb="FF2E4057"/>
      <name val="Arial"/>
    </font>
    <font>
      <i/>
      <sz val="12"/>
      <color rgb="FF999999"/>
      <name val="Arial"/>
    </font>
    <font>
      <sz val="11"/>
      <color rgb="FF999999"/>
      <name val="Arial"/>
    </font>
    <font>
      <b/>
      <sz val="11"/>
      <color rgb="FF2E4057"/>
      <name val="Arial"/>
    </font>
    <font>
      <b/>
      <sz val="10"/>
      <color rgb="FF000000"/>
      <name val="Arial"/>
    </font>
    <font>
      <sz val="10"/>
      <color rgb="FF666666"/>
      <name val="Arial"/>
    </font>
    <font>
      <b/>
      <sz val="10"/>
      <color rgb="FF0000FF"/>
      <name val="Arial"/>
    </font>
    <font>
      <b/>
      <sz val="10"/>
      <color rgb="FF008000"/>
      <name val="Arial"/>
    </font>
    <font>
      <i/>
      <sz val="9"/>
      <color rgb="FF888888"/>
      <name val="Arial"/>
    </font>
    <font>
      <b/>
      <i/>
      <sz val="10"/>
      <color rgb="FF888888"/>
      <name val="Arial"/>
    </font>
    <font>
      <b/>
      <sz val="10"/>
      <color rgb="FFFFFFFF"/>
      <name val="Arial"/>
    </font>
    <font>
      <b/>
      <sz val="10"/>
      <color rgb="FFCCDDFF"/>
      <name val="Arial"/>
    </font>
    <font>
      <sz val="10"/>
      <color rgb="FF000000"/>
      <name val="Arial"/>
    </font>
    <font>
      <i/>
      <sz val="8"/>
      <color rgb="FF888888"/>
      <name val="Arial"/>
    </font>
    <font>
      <i/>
      <sz val="8"/>
      <color rgb="FF0000FF"/>
      <name val="Arial"/>
    </font>
    <font>
      <sz val="10"/>
      <color rgb="FF0000FF"/>
      <name val="Arial"/>
    </font>
    <font>
      <i/>
      <sz val="9"/>
      <color rgb="FF999999"/>
      <name val="Arial"/>
    </font>
    <font>
      <i/>
      <sz val="9"/>
      <color rgb="FF666666"/>
      <name val="Arial"/>
    </font>
    <font>
      <i/>
      <sz val="9"/>
      <color rgb="FF008000"/>
      <name val="Arial"/>
    </font>
    <font>
      <sz val="10"/>
      <color rgb="FF008000"/>
      <name val="Arial"/>
    </font>
    <font>
      <sz val="8"/>
      <color rgb="FFBBBBBB"/>
      <name val="Arial"/>
    </font>
    <font>
      <b/>
      <sz val="10"/>
      <color rgb="FF2E4057"/>
      <name val="Arial"/>
    </font>
    <font>
      <b/>
      <i/>
      <sz val="9"/>
      <color rgb="FFFF0000"/>
      <name val="Arial"/>
    </font>
    <font>
      <b/>
      <sz val="10"/>
      <color rgb="FFFF0000"/>
      <name val="Arial"/>
    </font>
    <font>
      <b/>
      <i/>
      <sz val="9"/>
      <color rgb="FF008000"/>
      <name val="Arial"/>
    </font>
    <font>
      <b/>
      <sz val="12"/>
      <color rgb="FFDC3545"/>
      <name val="Arial"/>
    </font>
    <font>
      <b/>
      <sz val="12"/>
      <color rgb="FF008000"/>
      <name val="Arial"/>
    </font>
    <font>
      <b/>
      <sz val="18"/>
      <color rgb="FF008000"/>
      <name val="Arial"/>
    </font>
    <font>
      <b/>
      <sz val="9"/>
      <color rgb="FFFFFFFF"/>
      <name val="Arial"/>
    </font>
    <font>
      <sz val="9"/>
      <color rgb="FF2E7D32"/>
      <name val="Arial"/>
    </font>
    <font>
      <sz val="9"/>
      <color rgb="FF1565C0"/>
      <name val="Arial"/>
    </font>
    <font>
      <sz val="9"/>
      <color rgb="FFC62828"/>
      <name val="Arial"/>
    </font>
    <font>
      <b/>
      <sz val="12"/>
      <color rgb="FF2E4057"/>
      <name val="Arial"/>
    </font>
    <font>
      <b/>
      <sz val="14"/>
      <color rgb="FF008000"/>
      <name val="Arial"/>
    </font>
    <font>
      <b/>
      <sz val="14"/>
      <color rgb="FF1565C0"/>
      <name val="Arial"/>
    </font>
    <font>
      <b/>
      <sz val="14"/>
      <color rgb="FFCC0000"/>
      <name val="Arial"/>
    </font>
    <font>
      <b/>
      <sz val="22"/>
      <color rgb="FF2E4057"/>
      <name val="Arial"/>
    </font>
    <font>
      <b/>
      <sz val="16"/>
      <color rgb="FFFFFFFF"/>
      <name val="Arial"/>
    </font>
    <font>
      <b/>
      <sz val="10"/>
      <color rgb="FFCC0000"/>
      <name val="Arial"/>
    </font>
    <font>
      <sz val="10"/>
      <color rgb="FFFFFFFF"/>
      <name val="Arial"/>
    </font>
    <font>
      <sz val="10"/>
      <color rgb="FF333333"/>
      <name val="Arial"/>
    </font>
    <font>
      <b/>
      <sz val="10"/>
      <color rgb="FF333333"/>
      <name val="Arial"/>
    </font>
    <font>
      <b/>
      <sz val="14"/>
      <color rgb="FFFFFFFF"/>
      <name val="Arial"/>
    </font>
  </fonts>
  <fills count="17">
    <fill>
      <patternFill patternType="none"/>
    </fill>
    <fill>
      <patternFill patternType="gray125"/>
    </fill>
    <fill>
      <patternFill patternType="solid">
        <fgColor rgb="FFFFFFFF"/>
      </patternFill>
    </fill>
    <fill>
      <patternFill patternType="solid">
        <fgColor rgb="FF2E4057"/>
      </patternFill>
    </fill>
    <fill>
      <patternFill patternType="solid">
        <fgColor rgb="FFFFFFCC"/>
      </patternFill>
    </fill>
    <fill>
      <patternFill patternType="solid">
        <fgColor rgb="FFD6E4F0"/>
      </patternFill>
    </fill>
    <fill>
      <patternFill patternType="solid">
        <fgColor rgb="FFF2F2F2"/>
      </patternFill>
    </fill>
    <fill>
      <patternFill patternType="solid">
        <fgColor rgb="FFE8E8E8"/>
      </patternFill>
    </fill>
    <fill>
      <patternFill patternType="solid">
        <fgColor rgb="FFE8F0FE"/>
      </patternFill>
    </fill>
    <fill>
      <patternFill patternType="solid">
        <fgColor rgb="FFE8FFE8"/>
      </patternFill>
    </fill>
    <fill>
      <patternFill patternType="solid">
        <fgColor rgb="FFFFC107"/>
      </patternFill>
    </fill>
    <fill>
      <patternFill patternType="solid">
        <fgColor rgb="FFE8F5E9"/>
      </patternFill>
    </fill>
    <fill>
      <patternFill patternType="solid">
        <fgColor rgb="FFE3F2FD"/>
      </patternFill>
    </fill>
    <fill>
      <patternFill patternType="solid">
        <fgColor rgb="FFFFEBEE"/>
      </patternFill>
    </fill>
    <fill>
      <patternFill patternType="solid">
        <fgColor rgb="FFFFF3CD"/>
      </patternFill>
    </fill>
    <fill>
      <patternFill patternType="solid">
        <fgColor rgb="FF28A745"/>
      </patternFill>
    </fill>
    <fill>
      <patternFill patternType="solid">
        <fgColor rgb="FFF0F4F8"/>
      </patternFill>
    </fill>
  </fills>
  <borders count="12">
    <border>
      <left/>
      <right/>
      <top/>
      <bottom/>
      <diagonal/>
    </border>
    <border>
      <left/>
      <right/>
      <top/>
      <bottom style="medium">
        <color rgb="FF2E4057"/>
      </bottom>
      <diagonal/>
    </border>
    <border>
      <left/>
      <right/>
      <top/>
      <bottom style="thin">
        <color rgb="FF2E4057"/>
      </bottom>
      <diagonal/>
    </border>
    <border>
      <left/>
      <right/>
      <top style="medium">
        <color rgb="FF2E4057"/>
      </top>
      <bottom style="thin">
        <color rgb="FF2E4057"/>
      </bottom>
      <diagonal/>
    </border>
    <border>
      <left/>
      <right/>
      <top/>
      <bottom style="medium">
        <color rgb="FF000000"/>
      </bottom>
      <diagonal/>
    </border>
    <border>
      <left/>
      <right/>
      <top/>
      <bottom style="medium">
        <color rgb="FF2E4057"/>
      </bottom>
      <diagonal/>
    </border>
    <border>
      <left/>
      <right/>
      <top style="medium">
        <color rgb="FF2E4057"/>
      </top>
      <bottom style="thin">
        <color rgb="FF2E4057"/>
      </bottom>
      <diagonal/>
    </border>
    <border>
      <left/>
      <right/>
      <top/>
      <bottom style="thin">
        <color rgb="FFCCCCCC"/>
      </bottom>
      <diagonal/>
    </border>
    <border>
      <left/>
      <right/>
      <top/>
      <bottom style="double">
        <color rgb="FF000000"/>
      </bottom>
      <diagonal/>
    </border>
    <border>
      <left/>
      <right/>
      <top/>
      <bottom style="medium">
        <color rgb="FF2E4057"/>
      </bottom>
      <diagonal/>
    </border>
    <border>
      <left/>
      <right/>
      <top style="medium">
        <color rgb="FF2E4057"/>
      </top>
      <bottom style="thin">
        <color rgb="FF2E4057"/>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1">
    <xf numFmtId="0" fontId="0" fillId="0" borderId="0" xfId="0"/>
    <xf numFmtId="0" fontId="0" fillId="2" borderId="0" xfId="0" applyFill="1"/>
    <xf numFmtId="0" fontId="0" fillId="3" borderId="0" xfId="0" applyFill="1"/>
    <xf numFmtId="0" fontId="4" fillId="2" borderId="0" xfId="0" applyFont="1" applyFill="1" applyAlignment="1">
      <alignment horizontal="left" vertical="center"/>
    </xf>
    <xf numFmtId="0" fontId="5" fillId="2" borderId="0" xfId="0" applyFont="1" applyFill="1" applyAlignment="1">
      <alignment horizontal="left" vertical="center"/>
    </xf>
    <xf numFmtId="0" fontId="6" fillId="2" borderId="0" xfId="0" applyFont="1" applyFill="1"/>
    <xf numFmtId="0" fontId="7" fillId="2" borderId="0" xfId="0" applyFont="1" applyFill="1"/>
    <xf numFmtId="0" fontId="8" fillId="2" borderId="0" xfId="0" applyFont="1" applyFill="1"/>
    <xf numFmtId="0" fontId="9" fillId="2" borderId="2" xfId="0" applyFont="1" applyFill="1" applyBorder="1"/>
    <xf numFmtId="0" fontId="0" fillId="2" borderId="2" xfId="0" applyFill="1" applyBorder="1"/>
    <xf numFmtId="0" fontId="10" fillId="2" borderId="0" xfId="0" applyFont="1" applyFill="1"/>
    <xf numFmtId="0" fontId="11" fillId="2" borderId="0" xfId="0" applyFont="1" applyFill="1"/>
    <xf numFmtId="0" fontId="10" fillId="0" borderId="0" xfId="0" applyFont="1"/>
    <xf numFmtId="0" fontId="11" fillId="0" borderId="0" xfId="0" applyFont="1"/>
    <xf numFmtId="0" fontId="9" fillId="0" borderId="2" xfId="0" applyFont="1" applyBorder="1"/>
    <xf numFmtId="0" fontId="0" fillId="0" borderId="2" xfId="0" applyBorder="1"/>
    <xf numFmtId="0" fontId="12" fillId="0" borderId="0" xfId="0" applyFont="1"/>
    <xf numFmtId="0" fontId="13" fillId="0" borderId="0" xfId="0" applyFont="1"/>
    <xf numFmtId="0" fontId="10" fillId="4" borderId="0" xfId="0" applyFont="1" applyFill="1"/>
    <xf numFmtId="0" fontId="14" fillId="0" borderId="0" xfId="0" applyFont="1"/>
    <xf numFmtId="0" fontId="15" fillId="0" borderId="0" xfId="0" applyFont="1"/>
    <xf numFmtId="49" fontId="16" fillId="3" borderId="0" xfId="0" applyNumberFormat="1" applyFont="1" applyFill="1" applyAlignment="1">
      <alignment horizontal="center" vertical="center"/>
    </xf>
    <xf numFmtId="0" fontId="17" fillId="3" borderId="0" xfId="0" applyFont="1" applyFill="1" applyAlignment="1">
      <alignment horizontal="center" vertical="center"/>
    </xf>
    <xf numFmtId="0" fontId="18" fillId="0" borderId="0" xfId="0" applyFont="1"/>
    <xf numFmtId="0" fontId="19" fillId="0" borderId="0" xfId="0" applyFont="1" applyAlignment="1">
      <alignment horizontal="center" vertical="center"/>
    </xf>
    <xf numFmtId="0" fontId="20" fillId="0" borderId="0" xfId="0" applyFont="1" applyAlignment="1">
      <alignment horizontal="center" vertical="center"/>
    </xf>
    <xf numFmtId="0" fontId="0" fillId="5" borderId="3" xfId="0" applyFill="1" applyBorder="1"/>
    <xf numFmtId="0" fontId="10" fillId="0" borderId="4" xfId="0" applyFont="1" applyBorder="1" applyAlignment="1">
      <alignment horizontal="left" vertical="center"/>
    </xf>
    <xf numFmtId="164" fontId="10" fillId="6" borderId="4" xfId="0" applyNumberFormat="1" applyFont="1" applyFill="1" applyBorder="1" applyAlignment="1">
      <alignment horizontal="right" vertical="center"/>
    </xf>
    <xf numFmtId="164" fontId="12" fillId="4" borderId="4" xfId="0" applyNumberFormat="1" applyFont="1" applyFill="1" applyBorder="1" applyAlignment="1">
      <alignment horizontal="right" vertical="center"/>
    </xf>
    <xf numFmtId="0" fontId="14" fillId="0" borderId="0" xfId="0" applyFont="1" applyAlignment="1">
      <alignment horizontal="left" vertical="center"/>
    </xf>
    <xf numFmtId="0" fontId="18" fillId="0" borderId="0" xfId="0" applyFont="1" applyAlignment="1">
      <alignment horizontal="left" vertical="center"/>
    </xf>
    <xf numFmtId="165" fontId="18" fillId="6" borderId="0" xfId="0" applyNumberFormat="1" applyFont="1" applyFill="1" applyAlignment="1">
      <alignment horizontal="right" vertical="center"/>
    </xf>
    <xf numFmtId="165" fontId="21" fillId="4" borderId="0" xfId="0" applyNumberFormat="1" applyFont="1" applyFill="1" applyAlignment="1">
      <alignment horizontal="right" vertical="center"/>
    </xf>
    <xf numFmtId="165" fontId="10" fillId="6" borderId="4" xfId="0" applyNumberFormat="1" applyFont="1" applyFill="1" applyBorder="1" applyAlignment="1">
      <alignment horizontal="right" vertical="center"/>
    </xf>
    <xf numFmtId="165" fontId="12" fillId="4" borderId="4" xfId="0" applyNumberFormat="1" applyFont="1" applyFill="1" applyBorder="1" applyAlignment="1">
      <alignment horizontal="right" vertical="center"/>
    </xf>
    <xf numFmtId="164" fontId="21" fillId="6" borderId="0" xfId="0" applyNumberFormat="1" applyFont="1" applyFill="1" applyAlignment="1">
      <alignment horizontal="right" vertical="center"/>
    </xf>
    <xf numFmtId="164" fontId="21" fillId="4" borderId="0" xfId="0" applyNumberFormat="1" applyFont="1" applyFill="1" applyAlignment="1">
      <alignment horizontal="right" vertical="center"/>
    </xf>
    <xf numFmtId="166" fontId="18" fillId="6" borderId="0" xfId="0" applyNumberFormat="1" applyFont="1" applyFill="1" applyAlignment="1">
      <alignment horizontal="right" vertical="center"/>
    </xf>
    <xf numFmtId="164" fontId="18" fillId="6" borderId="0" xfId="0" applyNumberFormat="1" applyFont="1" applyFill="1" applyAlignment="1">
      <alignment horizontal="right" vertical="center"/>
    </xf>
    <xf numFmtId="2" fontId="21" fillId="4" borderId="0" xfId="0" applyNumberFormat="1" applyFont="1" applyFill="1" applyAlignment="1">
      <alignment horizontal="right" vertical="center"/>
    </xf>
    <xf numFmtId="0" fontId="22" fillId="0" borderId="0" xfId="0" applyFont="1" applyAlignment="1">
      <alignment horizontal="center" vertical="center"/>
    </xf>
    <xf numFmtId="0" fontId="6" fillId="0" borderId="0" xfId="0" applyFont="1"/>
    <xf numFmtId="0" fontId="10" fillId="0" borderId="0" xfId="0" applyFont="1" applyAlignment="1">
      <alignment horizontal="left" vertical="center"/>
    </xf>
    <xf numFmtId="164" fontId="10" fillId="7" borderId="4" xfId="0" applyNumberFormat="1" applyFont="1" applyFill="1" applyBorder="1" applyAlignment="1">
      <alignment horizontal="right" vertical="center"/>
    </xf>
    <xf numFmtId="164" fontId="13" fillId="5" borderId="4" xfId="0" applyNumberFormat="1" applyFont="1" applyFill="1" applyBorder="1" applyAlignment="1">
      <alignment horizontal="right" vertical="center"/>
    </xf>
    <xf numFmtId="0" fontId="23" fillId="0" borderId="0" xfId="0" applyFont="1"/>
    <xf numFmtId="165" fontId="23" fillId="0" borderId="0" xfId="0" applyNumberFormat="1" applyFont="1" applyAlignment="1">
      <alignment horizontal="right" vertical="center"/>
    </xf>
    <xf numFmtId="165" fontId="24" fillId="0" borderId="0" xfId="0" applyNumberFormat="1" applyFont="1" applyAlignment="1">
      <alignment horizontal="right" vertical="center"/>
    </xf>
    <xf numFmtId="164" fontId="18" fillId="6" borderId="7" xfId="0" applyNumberFormat="1" applyFont="1" applyFill="1" applyBorder="1" applyAlignment="1">
      <alignment horizontal="right" vertical="center"/>
    </xf>
    <xf numFmtId="164" fontId="25" fillId="8" borderId="7" xfId="0" applyNumberFormat="1" applyFont="1" applyFill="1" applyBorder="1" applyAlignment="1">
      <alignment horizontal="right" vertical="center"/>
    </xf>
    <xf numFmtId="164" fontId="10" fillId="7" borderId="8" xfId="0" applyNumberFormat="1" applyFont="1" applyFill="1" applyBorder="1" applyAlignment="1">
      <alignment horizontal="right" vertical="center"/>
    </xf>
    <xf numFmtId="164" fontId="13" fillId="5" borderId="8" xfId="0" applyNumberFormat="1" applyFont="1" applyFill="1" applyBorder="1" applyAlignment="1">
      <alignment horizontal="right" vertical="center"/>
    </xf>
    <xf numFmtId="3" fontId="18" fillId="6" borderId="7" xfId="0" applyNumberFormat="1" applyFont="1" applyFill="1" applyBorder="1" applyAlignment="1">
      <alignment horizontal="right" vertical="center"/>
    </xf>
    <xf numFmtId="3" fontId="25" fillId="8" borderId="7" xfId="0" applyNumberFormat="1" applyFont="1" applyFill="1" applyBorder="1" applyAlignment="1">
      <alignment horizontal="right" vertical="center"/>
    </xf>
    <xf numFmtId="167" fontId="10" fillId="7" borderId="4" xfId="0" applyNumberFormat="1" applyFont="1" applyFill="1" applyBorder="1" applyAlignment="1">
      <alignment horizontal="right" vertical="center"/>
    </xf>
    <xf numFmtId="167" fontId="13" fillId="5" borderId="4" xfId="0" applyNumberFormat="1" applyFont="1" applyFill="1" applyBorder="1" applyAlignment="1">
      <alignment horizontal="right" vertical="center"/>
    </xf>
    <xf numFmtId="0" fontId="26" fillId="0" borderId="0" xfId="0" applyFont="1"/>
    <xf numFmtId="0" fontId="27" fillId="0" borderId="0" xfId="0" applyFont="1"/>
    <xf numFmtId="164" fontId="13" fillId="9" borderId="0" xfId="0" applyNumberFormat="1" applyFont="1" applyFill="1" applyAlignment="1">
      <alignment horizontal="right" vertical="center"/>
    </xf>
    <xf numFmtId="0" fontId="28" fillId="0" borderId="0" xfId="0" applyFont="1"/>
    <xf numFmtId="0" fontId="29" fillId="0" borderId="0" xfId="0" applyFont="1"/>
    <xf numFmtId="164" fontId="13" fillId="9" borderId="7" xfId="0" applyNumberFormat="1" applyFont="1" applyFill="1" applyBorder="1" applyAlignment="1">
      <alignment horizontal="right" vertical="center"/>
    </xf>
    <xf numFmtId="0" fontId="30" fillId="0" borderId="0" xfId="0" applyFont="1"/>
    <xf numFmtId="164" fontId="18" fillId="9" borderId="7" xfId="0" applyNumberFormat="1" applyFont="1" applyFill="1" applyBorder="1" applyAlignment="1">
      <alignment horizontal="right" vertical="center"/>
    </xf>
    <xf numFmtId="164" fontId="25" fillId="9" borderId="7" xfId="0" applyNumberFormat="1" applyFont="1" applyFill="1" applyBorder="1" applyAlignment="1">
      <alignment horizontal="right" vertical="center"/>
    </xf>
    <xf numFmtId="164" fontId="10" fillId="9" borderId="8" xfId="0" applyNumberFormat="1" applyFont="1" applyFill="1" applyBorder="1" applyAlignment="1">
      <alignment horizontal="right" vertical="center"/>
    </xf>
    <xf numFmtId="164" fontId="13" fillId="9" borderId="8" xfId="0" applyNumberFormat="1" applyFont="1" applyFill="1" applyBorder="1" applyAlignment="1">
      <alignment horizontal="right" vertical="center"/>
    </xf>
    <xf numFmtId="4" fontId="18" fillId="6" borderId="0" xfId="0" applyNumberFormat="1" applyFont="1" applyFill="1" applyAlignment="1">
      <alignment horizontal="right" vertical="center"/>
    </xf>
    <xf numFmtId="165" fontId="25" fillId="8" borderId="0" xfId="0" applyNumberFormat="1" applyFont="1" applyFill="1" applyAlignment="1">
      <alignment horizontal="right" vertical="center"/>
    </xf>
    <xf numFmtId="165" fontId="10" fillId="6" borderId="0" xfId="0" applyNumberFormat="1" applyFont="1" applyFill="1" applyAlignment="1">
      <alignment horizontal="right" vertical="center"/>
    </xf>
    <xf numFmtId="165" fontId="13" fillId="8" borderId="0" xfId="0" applyNumberFormat="1" applyFont="1" applyFill="1" applyAlignment="1">
      <alignment horizontal="right" vertical="center"/>
    </xf>
    <xf numFmtId="166" fontId="25" fillId="8" borderId="0" xfId="0" applyNumberFormat="1" applyFont="1" applyFill="1" applyAlignment="1">
      <alignment horizontal="right" vertical="center"/>
    </xf>
    <xf numFmtId="168" fontId="12" fillId="4" borderId="0" xfId="0" applyNumberFormat="1" applyFont="1" applyFill="1" applyAlignment="1">
      <alignment horizontal="right" vertical="center"/>
    </xf>
    <xf numFmtId="2" fontId="12" fillId="4" borderId="0" xfId="0" applyNumberFormat="1" applyFont="1" applyFill="1" applyAlignment="1">
      <alignment horizontal="right" vertical="center"/>
    </xf>
    <xf numFmtId="168" fontId="10" fillId="9" borderId="0" xfId="0" applyNumberFormat="1" applyFont="1" applyFill="1" applyAlignment="1">
      <alignment horizontal="right" vertical="center"/>
    </xf>
    <xf numFmtId="168" fontId="31" fillId="9" borderId="0" xfId="0" applyNumberFormat="1" applyFont="1" applyFill="1" applyAlignment="1">
      <alignment horizontal="right" vertical="center"/>
    </xf>
    <xf numFmtId="0" fontId="16" fillId="3" borderId="0" xfId="0" applyFont="1" applyFill="1" applyAlignment="1">
      <alignment horizontal="center" vertical="center"/>
    </xf>
    <xf numFmtId="164" fontId="13" fillId="0" borderId="0" xfId="0" applyNumberFormat="1" applyFont="1" applyAlignment="1">
      <alignment horizontal="right" vertical="center"/>
    </xf>
    <xf numFmtId="169" fontId="18" fillId="0" borderId="0" xfId="0" applyNumberFormat="1" applyFont="1" applyAlignment="1">
      <alignment horizontal="right" vertical="center"/>
    </xf>
    <xf numFmtId="164" fontId="25" fillId="0" borderId="0" xfId="0" applyNumberFormat="1" applyFont="1" applyAlignment="1">
      <alignment horizontal="right" vertical="center"/>
    </xf>
    <xf numFmtId="164" fontId="10" fillId="0" borderId="0" xfId="0" applyNumberFormat="1" applyFont="1" applyAlignment="1">
      <alignment horizontal="right" vertical="center"/>
    </xf>
    <xf numFmtId="164" fontId="9" fillId="9" borderId="4" xfId="0" applyNumberFormat="1" applyFont="1" applyFill="1" applyBorder="1" applyAlignment="1">
      <alignment horizontal="right" vertical="center"/>
    </xf>
    <xf numFmtId="168" fontId="14" fillId="0" borderId="0" xfId="0" applyNumberFormat="1" applyFont="1" applyAlignment="1">
      <alignment horizontal="right" vertical="center"/>
    </xf>
    <xf numFmtId="0" fontId="9" fillId="0" borderId="0" xfId="0" applyFont="1"/>
    <xf numFmtId="164" fontId="32" fillId="9" borderId="8" xfId="0" applyNumberFormat="1" applyFont="1" applyFill="1" applyBorder="1" applyAlignment="1">
      <alignment horizontal="right" vertical="center"/>
    </xf>
    <xf numFmtId="3" fontId="25" fillId="0" borderId="0" xfId="0" applyNumberFormat="1" applyFont="1" applyAlignment="1">
      <alignment horizontal="right" vertical="center"/>
    </xf>
    <xf numFmtId="170" fontId="33" fillId="9" borderId="8" xfId="0" applyNumberFormat="1" applyFont="1" applyFill="1" applyBorder="1" applyAlignment="1">
      <alignment horizontal="right" vertical="center"/>
    </xf>
    <xf numFmtId="0" fontId="34" fillId="10" borderId="11" xfId="0" applyFont="1" applyFill="1" applyBorder="1" applyAlignment="1">
      <alignment horizontal="center" vertical="center"/>
    </xf>
    <xf numFmtId="168" fontId="34" fillId="3" borderId="11" xfId="0" applyNumberFormat="1" applyFont="1" applyFill="1" applyBorder="1" applyAlignment="1">
      <alignment horizontal="center" vertical="center"/>
    </xf>
    <xf numFmtId="170" fontId="18" fillId="0" borderId="11" xfId="0" applyNumberFormat="1" applyFont="1" applyBorder="1" applyAlignment="1">
      <alignment horizontal="center" vertical="center"/>
    </xf>
    <xf numFmtId="170" fontId="10" fillId="10" borderId="11" xfId="0" applyNumberFormat="1" applyFont="1" applyFill="1" applyBorder="1" applyAlignment="1">
      <alignment horizontal="center" vertical="center"/>
    </xf>
    <xf numFmtId="0" fontId="27" fillId="11" borderId="0" xfId="0" applyFont="1" applyFill="1" applyAlignment="1">
      <alignment horizontal="center" vertical="center"/>
    </xf>
    <xf numFmtId="0" fontId="27" fillId="12" borderId="0" xfId="0" applyFont="1" applyFill="1" applyAlignment="1">
      <alignment horizontal="center" vertical="center"/>
    </xf>
    <xf numFmtId="0" fontId="27" fillId="13" borderId="0" xfId="0" applyFont="1" applyFill="1" applyAlignment="1">
      <alignment horizontal="center" vertical="center"/>
    </xf>
    <xf numFmtId="0" fontId="35" fillId="11" borderId="0" xfId="0" applyFont="1" applyFill="1" applyAlignment="1">
      <alignment horizontal="left" vertical="top" wrapText="1"/>
    </xf>
    <xf numFmtId="0" fontId="36" fillId="12" borderId="0" xfId="0" applyFont="1" applyFill="1" applyAlignment="1">
      <alignment horizontal="left" vertical="top" wrapText="1"/>
    </xf>
    <xf numFmtId="0" fontId="37" fillId="13" borderId="0" xfId="0" applyFont="1" applyFill="1" applyAlignment="1">
      <alignment horizontal="left" vertical="top" wrapText="1"/>
    </xf>
    <xf numFmtId="0" fontId="18" fillId="0" borderId="7" xfId="0" applyFont="1" applyBorder="1"/>
    <xf numFmtId="0" fontId="12" fillId="11" borderId="7" xfId="0" applyFont="1" applyFill="1" applyBorder="1" applyAlignment="1">
      <alignment horizontal="right" vertical="center"/>
    </xf>
    <xf numFmtId="0" fontId="12" fillId="12" borderId="7" xfId="0" applyFont="1" applyFill="1" applyBorder="1" applyAlignment="1">
      <alignment horizontal="right" vertical="center"/>
    </xf>
    <xf numFmtId="0" fontId="12" fillId="13" borderId="7" xfId="0" applyFont="1" applyFill="1" applyBorder="1" applyAlignment="1">
      <alignment horizontal="right" vertical="center"/>
    </xf>
    <xf numFmtId="164" fontId="12" fillId="11" borderId="7" xfId="0" applyNumberFormat="1" applyFont="1" applyFill="1" applyBorder="1" applyAlignment="1">
      <alignment horizontal="right" vertical="center"/>
    </xf>
    <xf numFmtId="164" fontId="12" fillId="12" borderId="7" xfId="0" applyNumberFormat="1" applyFont="1" applyFill="1" applyBorder="1" applyAlignment="1">
      <alignment horizontal="right" vertical="center"/>
    </xf>
    <xf numFmtId="164" fontId="12" fillId="13" borderId="7" xfId="0" applyNumberFormat="1" applyFont="1" applyFill="1" applyBorder="1" applyAlignment="1">
      <alignment horizontal="right" vertical="center"/>
    </xf>
    <xf numFmtId="164" fontId="12" fillId="11" borderId="0" xfId="0" applyNumberFormat="1" applyFont="1" applyFill="1" applyAlignment="1">
      <alignment horizontal="right" vertical="center"/>
    </xf>
    <xf numFmtId="164" fontId="13" fillId="12" borderId="0" xfId="0" applyNumberFormat="1" applyFont="1" applyFill="1" applyAlignment="1">
      <alignment horizontal="right" vertical="center"/>
    </xf>
    <xf numFmtId="164" fontId="12" fillId="13" borderId="0" xfId="0" applyNumberFormat="1" applyFont="1" applyFill="1" applyAlignment="1">
      <alignment horizontal="right" vertical="center"/>
    </xf>
    <xf numFmtId="164" fontId="10" fillId="11" borderId="0" xfId="0" applyNumberFormat="1" applyFont="1" applyFill="1" applyAlignment="1">
      <alignment horizontal="right" vertical="center"/>
    </xf>
    <xf numFmtId="164" fontId="10" fillId="12" borderId="0" xfId="0" applyNumberFormat="1" applyFont="1" applyFill="1" applyAlignment="1">
      <alignment horizontal="right" vertical="center"/>
    </xf>
    <xf numFmtId="164" fontId="10" fillId="13" borderId="0" xfId="0" applyNumberFormat="1" applyFont="1" applyFill="1" applyAlignment="1">
      <alignment horizontal="right" vertical="center"/>
    </xf>
    <xf numFmtId="0" fontId="10" fillId="0" borderId="4" xfId="0" applyFont="1" applyBorder="1"/>
    <xf numFmtId="164" fontId="10" fillId="11" borderId="4" xfId="0" applyNumberFormat="1" applyFont="1" applyFill="1" applyBorder="1" applyAlignment="1">
      <alignment horizontal="right" vertical="center"/>
    </xf>
    <xf numFmtId="164" fontId="10" fillId="12" borderId="4" xfId="0" applyNumberFormat="1" applyFont="1" applyFill="1" applyBorder="1" applyAlignment="1">
      <alignment horizontal="right" vertical="center"/>
    </xf>
    <xf numFmtId="164" fontId="10" fillId="13" borderId="4" xfId="0" applyNumberFormat="1" applyFont="1" applyFill="1" applyBorder="1" applyAlignment="1">
      <alignment horizontal="right" vertical="center"/>
    </xf>
    <xf numFmtId="164" fontId="25" fillId="11" borderId="0" xfId="0" applyNumberFormat="1" applyFont="1" applyFill="1" applyAlignment="1">
      <alignment horizontal="right" vertical="center"/>
    </xf>
    <xf numFmtId="164" fontId="25" fillId="12" borderId="0" xfId="0" applyNumberFormat="1" applyFont="1" applyFill="1" applyAlignment="1">
      <alignment horizontal="right" vertical="center"/>
    </xf>
    <xf numFmtId="164" fontId="25" fillId="13" borderId="0" xfId="0" applyNumberFormat="1" applyFont="1" applyFill="1" applyAlignment="1">
      <alignment horizontal="right" vertical="center"/>
    </xf>
    <xf numFmtId="3" fontId="25" fillId="11" borderId="0" xfId="0" applyNumberFormat="1" applyFont="1" applyFill="1" applyAlignment="1">
      <alignment horizontal="right" vertical="center"/>
    </xf>
    <xf numFmtId="3" fontId="25" fillId="12" borderId="0" xfId="0" applyNumberFormat="1" applyFont="1" applyFill="1" applyAlignment="1">
      <alignment horizontal="right" vertical="center"/>
    </xf>
    <xf numFmtId="3" fontId="25" fillId="13" borderId="0" xfId="0" applyNumberFormat="1" applyFont="1" applyFill="1" applyAlignment="1">
      <alignment horizontal="right" vertical="center"/>
    </xf>
    <xf numFmtId="0" fontId="38" fillId="0" borderId="0" xfId="0" applyFont="1"/>
    <xf numFmtId="170" fontId="39" fillId="11" borderId="8" xfId="0" applyNumberFormat="1" applyFont="1" applyFill="1" applyBorder="1" applyAlignment="1">
      <alignment horizontal="center" vertical="center"/>
    </xf>
    <xf numFmtId="170" fontId="40" fillId="12" borderId="8" xfId="0" applyNumberFormat="1" applyFont="1" applyFill="1" applyBorder="1" applyAlignment="1">
      <alignment horizontal="center" vertical="center"/>
    </xf>
    <xf numFmtId="170" fontId="41" fillId="13" borderId="8" xfId="0" applyNumberFormat="1" applyFont="1" applyFill="1" applyBorder="1" applyAlignment="1">
      <alignment horizontal="center" vertical="center"/>
    </xf>
    <xf numFmtId="168" fontId="12" fillId="4" borderId="0" xfId="0" applyNumberFormat="1" applyFont="1" applyFill="1" applyAlignment="1">
      <alignment horizontal="center" vertical="center"/>
    </xf>
    <xf numFmtId="168" fontId="14" fillId="0" borderId="0" xfId="0" applyNumberFormat="1" applyFont="1" applyAlignment="1">
      <alignment horizontal="center" vertical="center"/>
    </xf>
    <xf numFmtId="170" fontId="10" fillId="11" borderId="0" xfId="0" applyNumberFormat="1" applyFont="1" applyFill="1" applyAlignment="1">
      <alignment horizontal="center" vertical="center"/>
    </xf>
    <xf numFmtId="170" fontId="10" fillId="12" borderId="0" xfId="0" applyNumberFormat="1" applyFont="1" applyFill="1" applyAlignment="1">
      <alignment horizontal="center" vertical="center"/>
    </xf>
    <xf numFmtId="170" fontId="10" fillId="13" borderId="0" xfId="0" applyNumberFormat="1" applyFont="1" applyFill="1" applyAlignment="1">
      <alignment horizontal="center" vertical="center"/>
    </xf>
    <xf numFmtId="170" fontId="12" fillId="4" borderId="0" xfId="0" applyNumberFormat="1" applyFont="1" applyFill="1" applyAlignment="1">
      <alignment horizontal="center" vertical="center"/>
    </xf>
    <xf numFmtId="168" fontId="39" fillId="9" borderId="0" xfId="0" applyNumberFormat="1" applyFont="1" applyFill="1" applyAlignment="1">
      <alignment horizontal="center" vertical="center"/>
    </xf>
    <xf numFmtId="0" fontId="43" fillId="15" borderId="0" xfId="0" applyFont="1" applyFill="1" applyAlignment="1">
      <alignment horizontal="center" vertical="center"/>
    </xf>
    <xf numFmtId="0" fontId="16" fillId="3" borderId="0" xfId="0" applyFont="1" applyFill="1"/>
    <xf numFmtId="170" fontId="44" fillId="13" borderId="7" xfId="0" applyNumberFormat="1" applyFont="1" applyFill="1" applyBorder="1" applyAlignment="1">
      <alignment horizontal="center" vertical="center"/>
    </xf>
    <xf numFmtId="170" fontId="12" fillId="4" borderId="7" xfId="0" applyNumberFormat="1" applyFont="1" applyFill="1" applyBorder="1" applyAlignment="1">
      <alignment horizontal="center" vertical="center"/>
    </xf>
    <xf numFmtId="170" fontId="10" fillId="2" borderId="7" xfId="0" applyNumberFormat="1" applyFont="1" applyFill="1" applyBorder="1" applyAlignment="1">
      <alignment horizontal="center" vertical="center"/>
    </xf>
    <xf numFmtId="170" fontId="27" fillId="14" borderId="7" xfId="0" applyNumberFormat="1" applyFont="1" applyFill="1" applyBorder="1" applyAlignment="1">
      <alignment horizontal="center" vertical="center"/>
    </xf>
    <xf numFmtId="170" fontId="13" fillId="12" borderId="7" xfId="0" applyNumberFormat="1" applyFont="1" applyFill="1" applyBorder="1" applyAlignment="1">
      <alignment horizontal="center" vertical="center"/>
    </xf>
    <xf numFmtId="170" fontId="13" fillId="11" borderId="7" xfId="0" applyNumberFormat="1" applyFont="1" applyFill="1" applyBorder="1" applyAlignment="1">
      <alignment horizontal="center" vertical="center"/>
    </xf>
    <xf numFmtId="0" fontId="45" fillId="3" borderId="0" xfId="0" applyFont="1" applyFill="1"/>
    <xf numFmtId="0" fontId="38" fillId="16" borderId="1" xfId="0" applyFont="1" applyFill="1" applyBorder="1"/>
    <xf numFmtId="0" fontId="46" fillId="0" borderId="0" xfId="0" applyFont="1" applyAlignment="1">
      <alignment horizontal="left" vertical="top" wrapText="1"/>
    </xf>
    <xf numFmtId="0" fontId="47" fillId="0" borderId="0" xfId="0" applyFont="1" applyAlignment="1">
      <alignment horizontal="left" vertical="top" wrapText="1"/>
    </xf>
    <xf numFmtId="0" fontId="48" fillId="15" borderId="0" xfId="0" applyFont="1" applyFill="1" applyAlignment="1">
      <alignment horizontal="left" vertical="center"/>
    </xf>
    <xf numFmtId="0" fontId="1" fillId="2" borderId="0" xfId="0" applyFont="1" applyFill="1" applyAlignment="1">
      <alignment horizontal="left" vertical="center"/>
    </xf>
    <xf numFmtId="0" fontId="0" fillId="0" borderId="0" xfId="0"/>
    <xf numFmtId="0" fontId="2" fillId="2" borderId="0" xfId="0" applyFont="1" applyFill="1" applyAlignment="1">
      <alignment horizontal="left" vertical="center"/>
    </xf>
    <xf numFmtId="0" fontId="0" fillId="2" borderId="9" xfId="0" applyFill="1" applyBorder="1"/>
    <xf numFmtId="0" fontId="0" fillId="0" borderId="5" xfId="0" applyBorder="1"/>
    <xf numFmtId="0" fontId="0" fillId="3" borderId="0" xfId="0" applyFill="1"/>
    <xf numFmtId="0" fontId="3" fillId="2" borderId="0" xfId="0" applyFont="1" applyFill="1" applyAlignment="1">
      <alignment horizontal="left" vertical="center"/>
    </xf>
    <xf numFmtId="0" fontId="6" fillId="0" borderId="0" xfId="0" applyFont="1" applyAlignment="1">
      <alignment horizontal="left" vertical="center"/>
    </xf>
    <xf numFmtId="0" fontId="9" fillId="5" borderId="10" xfId="0" applyFont="1" applyFill="1" applyBorder="1" applyAlignment="1">
      <alignment horizontal="left" vertical="center"/>
    </xf>
    <xf numFmtId="0" fontId="0" fillId="0" borderId="6" xfId="0" applyBorder="1"/>
    <xf numFmtId="0" fontId="6" fillId="0" borderId="0" xfId="0" applyFont="1"/>
    <xf numFmtId="0" fontId="9" fillId="5" borderId="10" xfId="0" applyFont="1" applyFill="1" applyBorder="1"/>
    <xf numFmtId="0" fontId="9" fillId="5" borderId="3" xfId="0" applyFont="1" applyFill="1" applyBorder="1"/>
    <xf numFmtId="0" fontId="0" fillId="5" borderId="3" xfId="0" applyFill="1" applyBorder="1"/>
    <xf numFmtId="170" fontId="42" fillId="14" borderId="8" xfId="0" applyNumberFormat="1" applyFont="1" applyFill="1" applyBorder="1" applyAlignment="1">
      <alignment horizontal="center" vertical="center"/>
    </xf>
    <xf numFmtId="0" fontId="43" fillId="3"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4CC27BE-DC63-41A6-B465-1F9439D471BF}">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4057"/>
  </sheetPr>
  <dimension ref="A1:D47"/>
  <sheetViews>
    <sheetView workbookViewId="0"/>
  </sheetViews>
  <sheetFormatPr baseColWidth="10" defaultColWidth="9.140625" defaultRowHeight="15" x14ac:dyDescent="0.25"/>
  <cols>
    <col min="1" max="1" width="5" customWidth="1"/>
    <col min="2" max="2" width="40" customWidth="1"/>
    <col min="3" max="3" width="35" customWidth="1"/>
    <col min="4" max="4" width="5" customWidth="1"/>
  </cols>
  <sheetData>
    <row r="1" spans="1:4" x14ac:dyDescent="0.25">
      <c r="A1" s="1"/>
      <c r="B1" s="1"/>
      <c r="C1" s="1"/>
      <c r="D1" s="1"/>
    </row>
    <row r="2" spans="1:4" x14ac:dyDescent="0.25">
      <c r="A2" s="1"/>
      <c r="B2" s="1"/>
      <c r="C2" s="1"/>
      <c r="D2" s="1"/>
    </row>
    <row r="3" spans="1:4" ht="50.1" customHeight="1" x14ac:dyDescent="0.25">
      <c r="A3" s="150"/>
      <c r="B3" s="146"/>
      <c r="C3" s="146"/>
      <c r="D3" s="146"/>
    </row>
    <row r="4" spans="1:4" ht="8.1" customHeight="1" x14ac:dyDescent="0.25">
      <c r="A4" s="150"/>
      <c r="B4" s="146"/>
      <c r="C4" s="146"/>
      <c r="D4" s="146"/>
    </row>
    <row r="5" spans="1:4" x14ac:dyDescent="0.25">
      <c r="A5" s="1"/>
      <c r="B5" s="1"/>
      <c r="C5" s="1"/>
      <c r="D5" s="1"/>
    </row>
    <row r="6" spans="1:4" ht="26.25" x14ac:dyDescent="0.25">
      <c r="A6" s="1"/>
      <c r="B6" s="145" t="s">
        <v>0</v>
      </c>
      <c r="C6" s="146"/>
      <c r="D6" s="1"/>
    </row>
    <row r="7" spans="1:4" ht="18" x14ac:dyDescent="0.25">
      <c r="A7" s="1"/>
      <c r="B7" s="147" t="s">
        <v>1</v>
      </c>
      <c r="C7" s="146"/>
      <c r="D7" s="1"/>
    </row>
    <row r="8" spans="1:4" x14ac:dyDescent="0.25">
      <c r="A8" s="1"/>
      <c r="B8" s="151" t="s">
        <v>2</v>
      </c>
      <c r="C8" s="146"/>
      <c r="D8" s="1"/>
    </row>
    <row r="9" spans="1:4" ht="5.0999999999999996" customHeight="1" x14ac:dyDescent="0.25">
      <c r="A9" s="1"/>
      <c r="B9" s="1"/>
      <c r="C9" s="1"/>
      <c r="D9" s="1"/>
    </row>
    <row r="10" spans="1:4" x14ac:dyDescent="0.25">
      <c r="A10" s="1"/>
      <c r="B10" s="1"/>
      <c r="C10" s="1"/>
      <c r="D10" s="1"/>
    </row>
    <row r="11" spans="1:4" ht="15.75" x14ac:dyDescent="0.25">
      <c r="A11" s="1"/>
      <c r="B11" s="3" t="s">
        <v>3</v>
      </c>
      <c r="C11" s="4" t="s">
        <v>4</v>
      </c>
      <c r="D11" s="1"/>
    </row>
    <row r="12" spans="1:4" ht="15.75" x14ac:dyDescent="0.25">
      <c r="A12" s="1"/>
      <c r="B12" s="3" t="s">
        <v>5</v>
      </c>
      <c r="C12" s="4" t="s">
        <v>6</v>
      </c>
      <c r="D12" s="1"/>
    </row>
    <row r="13" spans="1:4" ht="15.75" x14ac:dyDescent="0.25">
      <c r="A13" s="1"/>
      <c r="B13" s="3" t="s">
        <v>7</v>
      </c>
      <c r="C13" s="4" t="s">
        <v>8</v>
      </c>
      <c r="D13" s="1"/>
    </row>
    <row r="14" spans="1:4" ht="15.75" x14ac:dyDescent="0.25">
      <c r="A14" s="1"/>
      <c r="B14" s="3" t="s">
        <v>9</v>
      </c>
      <c r="C14" s="4" t="s">
        <v>10</v>
      </c>
      <c r="D14" s="1"/>
    </row>
    <row r="15" spans="1:4" ht="15.75" x14ac:dyDescent="0.25">
      <c r="A15" s="1"/>
      <c r="B15" s="3"/>
      <c r="C15" s="4"/>
      <c r="D15" s="1"/>
    </row>
    <row r="16" spans="1:4" ht="15.75" x14ac:dyDescent="0.25">
      <c r="A16" s="1"/>
      <c r="B16" s="3" t="s">
        <v>11</v>
      </c>
      <c r="C16" s="4" t="s">
        <v>12</v>
      </c>
      <c r="D16" s="1"/>
    </row>
    <row r="17" spans="1:4" ht="15.75" x14ac:dyDescent="0.25">
      <c r="A17" s="1"/>
      <c r="B17" s="3" t="s">
        <v>13</v>
      </c>
      <c r="C17" s="4" t="s">
        <v>14</v>
      </c>
      <c r="D17" s="1"/>
    </row>
    <row r="18" spans="1:4" ht="15.75" x14ac:dyDescent="0.25">
      <c r="A18" s="1"/>
      <c r="B18" s="3" t="s">
        <v>15</v>
      </c>
      <c r="C18" s="4" t="s">
        <v>16</v>
      </c>
      <c r="D18" s="1"/>
    </row>
    <row r="19" spans="1:4" ht="15.75" x14ac:dyDescent="0.25">
      <c r="A19" s="1"/>
      <c r="B19" s="3"/>
      <c r="C19" s="4"/>
      <c r="D19" s="1"/>
    </row>
    <row r="20" spans="1:4" ht="15.75" x14ac:dyDescent="0.25">
      <c r="A20" s="1"/>
      <c r="B20" s="3" t="s">
        <v>17</v>
      </c>
      <c r="C20" s="4" t="s">
        <v>18</v>
      </c>
      <c r="D20" s="1"/>
    </row>
    <row r="21" spans="1:4" ht="15.75" x14ac:dyDescent="0.25">
      <c r="A21" s="1"/>
      <c r="B21" s="3" t="s">
        <v>19</v>
      </c>
      <c r="C21" s="4" t="s">
        <v>20</v>
      </c>
      <c r="D21" s="1"/>
    </row>
    <row r="22" spans="1:4" ht="15.75" x14ac:dyDescent="0.25">
      <c r="A22" s="1"/>
      <c r="B22" s="3" t="s">
        <v>21</v>
      </c>
      <c r="C22" s="4" t="s">
        <v>22</v>
      </c>
      <c r="D22" s="1"/>
    </row>
    <row r="23" spans="1:4" ht="15.75" x14ac:dyDescent="0.25">
      <c r="A23" s="1"/>
      <c r="B23" s="3" t="s">
        <v>23</v>
      </c>
      <c r="C23" s="4" t="s">
        <v>24</v>
      </c>
      <c r="D23" s="1"/>
    </row>
    <row r="24" spans="1:4" x14ac:dyDescent="0.25">
      <c r="A24" s="1"/>
      <c r="B24" s="1"/>
      <c r="C24" s="1"/>
      <c r="D24" s="1"/>
    </row>
    <row r="25" spans="1:4" ht="6" customHeight="1" x14ac:dyDescent="0.25">
      <c r="A25" s="1"/>
      <c r="B25" s="148"/>
      <c r="C25" s="149"/>
      <c r="D25" s="1"/>
    </row>
    <row r="26" spans="1:4" x14ac:dyDescent="0.25">
      <c r="A26" s="1"/>
      <c r="B26" s="1"/>
      <c r="C26" s="1"/>
      <c r="D26" s="1"/>
    </row>
    <row r="27" spans="1:4" ht="18" x14ac:dyDescent="0.25">
      <c r="A27" s="1"/>
      <c r="B27" s="5" t="s">
        <v>25</v>
      </c>
      <c r="C27" s="1"/>
      <c r="D27" s="1"/>
    </row>
    <row r="28" spans="1:4" ht="15.75" x14ac:dyDescent="0.25">
      <c r="A28" s="1"/>
      <c r="B28" s="6" t="s">
        <v>26</v>
      </c>
      <c r="C28" s="1"/>
      <c r="D28" s="1"/>
    </row>
    <row r="29" spans="1:4" x14ac:dyDescent="0.25">
      <c r="A29" s="1"/>
      <c r="B29" s="7" t="s">
        <v>27</v>
      </c>
      <c r="C29" s="1"/>
      <c r="D29" s="1"/>
    </row>
    <row r="30" spans="1:4" x14ac:dyDescent="0.25">
      <c r="A30" s="1"/>
      <c r="B30" s="1"/>
      <c r="C30" s="1"/>
      <c r="D30" s="1"/>
    </row>
    <row r="31" spans="1:4" x14ac:dyDescent="0.25">
      <c r="A31" s="1"/>
      <c r="B31" s="1"/>
      <c r="C31" s="1"/>
      <c r="D31" s="1"/>
    </row>
    <row r="32" spans="1:4" x14ac:dyDescent="0.25">
      <c r="A32" s="1"/>
      <c r="B32" s="8" t="s">
        <v>28</v>
      </c>
      <c r="C32" s="9"/>
      <c r="D32" s="1"/>
    </row>
    <row r="33" spans="1:4" x14ac:dyDescent="0.25">
      <c r="A33" s="1"/>
      <c r="B33" s="10" t="s">
        <v>29</v>
      </c>
      <c r="C33" s="11" t="s">
        <v>30</v>
      </c>
      <c r="D33" s="1"/>
    </row>
    <row r="34" spans="1:4" x14ac:dyDescent="0.25">
      <c r="A34" s="1"/>
      <c r="B34" s="10" t="s">
        <v>31</v>
      </c>
      <c r="C34" s="11" t="s">
        <v>32</v>
      </c>
      <c r="D34" s="1"/>
    </row>
    <row r="35" spans="1:4" x14ac:dyDescent="0.25">
      <c r="B35" s="12" t="s">
        <v>33</v>
      </c>
      <c r="C35" s="13" t="s">
        <v>34</v>
      </c>
    </row>
    <row r="36" spans="1:4" x14ac:dyDescent="0.25">
      <c r="B36" s="12" t="s">
        <v>35</v>
      </c>
      <c r="C36" s="13" t="s">
        <v>36</v>
      </c>
    </row>
    <row r="37" spans="1:4" x14ac:dyDescent="0.25">
      <c r="B37" s="12" t="s">
        <v>37</v>
      </c>
      <c r="C37" s="13" t="s">
        <v>38</v>
      </c>
    </row>
    <row r="38" spans="1:4" x14ac:dyDescent="0.25">
      <c r="B38" s="12" t="s">
        <v>39</v>
      </c>
      <c r="C38" s="13" t="s">
        <v>40</v>
      </c>
    </row>
    <row r="39" spans="1:4" x14ac:dyDescent="0.25">
      <c r="B39" s="12" t="s">
        <v>41</v>
      </c>
      <c r="C39" s="13" t="s">
        <v>42</v>
      </c>
    </row>
    <row r="40" spans="1:4" x14ac:dyDescent="0.25">
      <c r="B40" s="12" t="s">
        <v>43</v>
      </c>
      <c r="C40" s="13" t="s">
        <v>44</v>
      </c>
    </row>
    <row r="41" spans="1:4" x14ac:dyDescent="0.25">
      <c r="B41" s="12" t="s">
        <v>45</v>
      </c>
      <c r="C41" s="13" t="s">
        <v>46</v>
      </c>
    </row>
    <row r="43" spans="1:4" x14ac:dyDescent="0.25">
      <c r="B43" s="14" t="s">
        <v>47</v>
      </c>
      <c r="C43" s="15"/>
    </row>
    <row r="44" spans="1:4" x14ac:dyDescent="0.25">
      <c r="B44" s="16" t="s">
        <v>48</v>
      </c>
      <c r="C44" s="13" t="s">
        <v>49</v>
      </c>
    </row>
    <row r="45" spans="1:4" x14ac:dyDescent="0.25">
      <c r="B45" s="12" t="s">
        <v>50</v>
      </c>
      <c r="C45" s="13" t="s">
        <v>51</v>
      </c>
    </row>
    <row r="46" spans="1:4" x14ac:dyDescent="0.25">
      <c r="B46" s="17" t="s">
        <v>52</v>
      </c>
      <c r="C46" s="13" t="s">
        <v>53</v>
      </c>
    </row>
    <row r="47" spans="1:4" x14ac:dyDescent="0.25">
      <c r="B47" s="18" t="s">
        <v>54</v>
      </c>
      <c r="C47" s="13" t="s">
        <v>55</v>
      </c>
    </row>
  </sheetData>
  <mergeCells count="6">
    <mergeCell ref="B6:C6"/>
    <mergeCell ref="B7:C7"/>
    <mergeCell ref="B25:C25"/>
    <mergeCell ref="A4:D4"/>
    <mergeCell ref="A3:D3"/>
    <mergeCell ref="B8:C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B1:M56"/>
  <sheetViews>
    <sheetView workbookViewId="0">
      <pane xSplit="2" ySplit="4" topLeftCell="C5" activePane="bottomRight" state="frozen"/>
      <selection pane="topRight"/>
      <selection pane="bottomLeft"/>
      <selection pane="bottomRight" activeCell="L19" sqref="L19"/>
    </sheetView>
  </sheetViews>
  <sheetFormatPr baseColWidth="10" defaultColWidth="9.140625" defaultRowHeight="15" x14ac:dyDescent="0.25"/>
  <cols>
    <col min="1" max="1" width="2" customWidth="1"/>
    <col min="2" max="2" width="36" customWidth="1"/>
    <col min="3" max="12" width="14" customWidth="1"/>
    <col min="13" max="13" width="35" customWidth="1"/>
  </cols>
  <sheetData>
    <row r="1" spans="2:13" ht="18" x14ac:dyDescent="0.25">
      <c r="B1" s="152" t="s">
        <v>56</v>
      </c>
      <c r="C1" s="146"/>
      <c r="D1" s="146"/>
      <c r="E1" s="146"/>
      <c r="F1" s="146"/>
      <c r="G1" s="146"/>
      <c r="H1" s="146"/>
      <c r="I1" s="146"/>
      <c r="J1" s="146"/>
      <c r="K1" s="146"/>
      <c r="L1" s="146"/>
    </row>
    <row r="2" spans="2:13" x14ac:dyDescent="0.25">
      <c r="B2" s="19" t="s">
        <v>57</v>
      </c>
      <c r="M2" s="20" t="s">
        <v>58</v>
      </c>
    </row>
    <row r="3" spans="2:13" x14ac:dyDescent="0.25">
      <c r="B3" s="2"/>
      <c r="C3" s="21" t="s">
        <v>59</v>
      </c>
      <c r="D3" s="21" t="s">
        <v>60</v>
      </c>
      <c r="E3" s="21" t="s">
        <v>61</v>
      </c>
      <c r="F3" s="21" t="s">
        <v>62</v>
      </c>
      <c r="G3" s="21" t="s">
        <v>63</v>
      </c>
      <c r="H3" s="21" t="s">
        <v>64</v>
      </c>
      <c r="I3" s="21" t="s">
        <v>65</v>
      </c>
      <c r="J3" s="22" t="s">
        <v>66</v>
      </c>
      <c r="K3" s="22" t="s">
        <v>67</v>
      </c>
      <c r="L3" s="22" t="s">
        <v>68</v>
      </c>
      <c r="M3" s="2"/>
    </row>
    <row r="4" spans="2:13" x14ac:dyDescent="0.25">
      <c r="B4" s="23"/>
      <c r="C4" s="24" t="s">
        <v>69</v>
      </c>
      <c r="D4" s="24" t="s">
        <v>69</v>
      </c>
      <c r="E4" s="24" t="s">
        <v>69</v>
      </c>
      <c r="F4" s="24" t="s">
        <v>69</v>
      </c>
      <c r="G4" s="24" t="s">
        <v>69</v>
      </c>
      <c r="H4" s="24" t="s">
        <v>69</v>
      </c>
      <c r="I4" s="24" t="s">
        <v>69</v>
      </c>
      <c r="J4" s="25" t="s">
        <v>70</v>
      </c>
      <c r="K4" s="25" t="s">
        <v>70</v>
      </c>
      <c r="L4" s="25" t="s">
        <v>70</v>
      </c>
    </row>
    <row r="6" spans="2:13" x14ac:dyDescent="0.25">
      <c r="B6" s="153" t="s">
        <v>71</v>
      </c>
      <c r="C6" s="154"/>
      <c r="D6" s="154"/>
      <c r="E6" s="154"/>
      <c r="F6" s="154"/>
      <c r="G6" s="154"/>
      <c r="H6" s="154"/>
      <c r="I6" s="154"/>
      <c r="J6" s="154"/>
      <c r="K6" s="154"/>
      <c r="L6" s="154"/>
      <c r="M6" s="26"/>
    </row>
    <row r="7" spans="2:13" x14ac:dyDescent="0.25">
      <c r="B7" s="27" t="s">
        <v>72</v>
      </c>
      <c r="C7" s="28">
        <v>17772</v>
      </c>
      <c r="D7" s="28">
        <v>21454</v>
      </c>
      <c r="E7" s="28">
        <v>25371</v>
      </c>
      <c r="F7" s="28">
        <v>27518</v>
      </c>
      <c r="G7" s="28">
        <v>29771</v>
      </c>
      <c r="H7" s="28">
        <v>31797</v>
      </c>
      <c r="I7" s="28">
        <v>33172</v>
      </c>
      <c r="J7" s="29">
        <v>34170</v>
      </c>
      <c r="K7" s="29">
        <v>35540</v>
      </c>
      <c r="L7" s="29">
        <v>37320</v>
      </c>
      <c r="M7" s="30" t="s">
        <v>73</v>
      </c>
    </row>
    <row r="8" spans="2:13" x14ac:dyDescent="0.25">
      <c r="B8" s="31" t="s">
        <v>74</v>
      </c>
      <c r="D8" s="32">
        <v>0.2071798334458699</v>
      </c>
      <c r="E8" s="32">
        <v>0.18257667567819519</v>
      </c>
      <c r="F8" s="32">
        <v>8.462417721020063E-2</v>
      </c>
      <c r="G8" s="32">
        <v>8.1873682680427357E-2</v>
      </c>
      <c r="H8" s="32">
        <v>6.8052803063383835E-2</v>
      </c>
      <c r="I8" s="32">
        <v>4.32430732459037E-2</v>
      </c>
      <c r="J8" s="33">
        <v>0.03</v>
      </c>
      <c r="K8" s="33">
        <v>0.04</v>
      </c>
      <c r="L8" s="33">
        <v>0.05</v>
      </c>
      <c r="M8" s="30" t="s">
        <v>75</v>
      </c>
    </row>
    <row r="9" spans="2:13" x14ac:dyDescent="0.25">
      <c r="B9" s="31" t="s">
        <v>76</v>
      </c>
      <c r="C9" s="32">
        <v>0.4370920549178483</v>
      </c>
      <c r="D9" s="32">
        <v>0.42887107299338117</v>
      </c>
      <c r="E9" s="32">
        <v>0.43900516337550749</v>
      </c>
      <c r="F9" s="32">
        <v>0.44305545461152701</v>
      </c>
      <c r="G9" s="32">
        <v>0.44929629505223212</v>
      </c>
      <c r="H9" s="32">
        <v>0.46092398653961059</v>
      </c>
      <c r="I9" s="32">
        <v>0.46153382370674062</v>
      </c>
      <c r="J9" s="33">
        <v>0.44500000000000001</v>
      </c>
      <c r="K9" s="33">
        <v>0.44800000000000001</v>
      </c>
      <c r="L9" s="33">
        <v>0.45</v>
      </c>
      <c r="M9" s="30" t="s">
        <v>77</v>
      </c>
    </row>
    <row r="11" spans="2:13" x14ac:dyDescent="0.25">
      <c r="B11" s="153" t="s">
        <v>78</v>
      </c>
      <c r="C11" s="154"/>
      <c r="D11" s="154"/>
      <c r="E11" s="154"/>
      <c r="F11" s="154"/>
      <c r="G11" s="154"/>
      <c r="H11" s="154"/>
      <c r="I11" s="154"/>
      <c r="J11" s="154"/>
      <c r="K11" s="154"/>
      <c r="L11" s="154"/>
      <c r="M11" s="26"/>
    </row>
    <row r="12" spans="2:13" x14ac:dyDescent="0.25">
      <c r="B12" s="27" t="s">
        <v>79</v>
      </c>
      <c r="C12" s="34">
        <v>0.28702453297321628</v>
      </c>
      <c r="D12" s="34">
        <v>0.27556632795749042</v>
      </c>
      <c r="E12" s="34">
        <v>0.27338299633439761</v>
      </c>
      <c r="F12" s="34">
        <v>0.2927538338542045</v>
      </c>
      <c r="G12" s="34">
        <v>0.28040710758792109</v>
      </c>
      <c r="H12" s="34">
        <v>0.28109570085228158</v>
      </c>
      <c r="I12" s="34">
        <v>0.2804172193416134</v>
      </c>
      <c r="J12" s="35">
        <v>0.28999999999999998</v>
      </c>
      <c r="K12" s="35">
        <v>0.28499999999999998</v>
      </c>
      <c r="L12" s="35">
        <v>0.28000000000000003</v>
      </c>
      <c r="M12" s="30" t="s">
        <v>80</v>
      </c>
    </row>
    <row r="13" spans="2:13" x14ac:dyDescent="0.25">
      <c r="B13" s="31" t="s">
        <v>81</v>
      </c>
      <c r="C13" s="32">
        <v>0.15006752194463199</v>
      </c>
      <c r="D13" s="32">
        <v>0.15330474503589081</v>
      </c>
      <c r="E13" s="32">
        <v>0.16562216704110991</v>
      </c>
      <c r="F13" s="32">
        <v>0.15030162075732251</v>
      </c>
      <c r="G13" s="32">
        <v>0.16888918746431089</v>
      </c>
      <c r="H13" s="32">
        <v>0.179828285687329</v>
      </c>
      <c r="I13" s="32">
        <v>0.18111660436512719</v>
      </c>
      <c r="J13" s="33">
        <v>0.18</v>
      </c>
      <c r="K13" s="33">
        <v>0.187</v>
      </c>
      <c r="L13" s="33">
        <v>0.19500000000000001</v>
      </c>
      <c r="M13" s="30" t="s">
        <v>82</v>
      </c>
    </row>
    <row r="14" spans="2:13" x14ac:dyDescent="0.25">
      <c r="B14" s="31" t="s">
        <v>83</v>
      </c>
      <c r="C14" s="32">
        <v>4.5577312626603653E-2</v>
      </c>
      <c r="D14" s="32">
        <v>4.712407942574811E-2</v>
      </c>
      <c r="E14" s="32">
        <v>4.7298096251625871E-2</v>
      </c>
      <c r="F14" s="32">
        <v>4.6296969256486672E-2</v>
      </c>
      <c r="G14" s="32">
        <v>4.3330758120318433E-2</v>
      </c>
      <c r="H14" s="32">
        <v>3.9594930339340188E-2</v>
      </c>
      <c r="I14" s="32">
        <v>3.8586759918003137E-2</v>
      </c>
      <c r="J14" s="33">
        <v>3.7999999999999999E-2</v>
      </c>
      <c r="K14" s="33">
        <v>3.6999999999999998E-2</v>
      </c>
      <c r="L14" s="33">
        <v>3.5999999999999997E-2</v>
      </c>
      <c r="M14" s="30" t="s">
        <v>84</v>
      </c>
    </row>
    <row r="15" spans="2:13" x14ac:dyDescent="0.25">
      <c r="B15" s="31" t="s">
        <v>85</v>
      </c>
      <c r="C15" s="32">
        <v>5.7449921224397932E-2</v>
      </c>
      <c r="D15" s="32">
        <v>6.4230446536776356E-2</v>
      </c>
      <c r="E15" s="32">
        <v>5.9516771116629223E-2</v>
      </c>
      <c r="F15" s="32">
        <v>5.291082200741333E-2</v>
      </c>
      <c r="G15" s="32">
        <v>4.6689731618017531E-2</v>
      </c>
      <c r="H15" s="32">
        <v>4.3997861433468573E-2</v>
      </c>
      <c r="I15" s="32">
        <v>4.0696973351018927E-2</v>
      </c>
      <c r="J15" s="33">
        <v>0.04</v>
      </c>
      <c r="K15" s="33">
        <v>3.9E-2</v>
      </c>
      <c r="L15" s="33">
        <v>3.7999999999999999E-2</v>
      </c>
      <c r="M15" s="30" t="s">
        <v>86</v>
      </c>
    </row>
    <row r="17" spans="2:13" x14ac:dyDescent="0.25">
      <c r="B17" s="153" t="s">
        <v>87</v>
      </c>
      <c r="C17" s="154"/>
      <c r="D17" s="154"/>
      <c r="E17" s="154"/>
      <c r="F17" s="154"/>
      <c r="G17" s="154"/>
      <c r="H17" s="154"/>
      <c r="I17" s="154"/>
      <c r="J17" s="154"/>
      <c r="K17" s="154"/>
      <c r="L17" s="154"/>
      <c r="M17" s="26"/>
    </row>
    <row r="18" spans="2:13" x14ac:dyDescent="0.25">
      <c r="B18" s="31" t="s">
        <v>88</v>
      </c>
      <c r="C18" s="32">
        <v>-1.068639539662967E-2</v>
      </c>
      <c r="D18" s="32">
        <v>-0.3890909090909091</v>
      </c>
      <c r="E18" s="32">
        <v>-5.0125944584382867E-2</v>
      </c>
      <c r="F18" s="32">
        <v>0.36791220276979358</v>
      </c>
      <c r="G18" s="32">
        <v>8.9427407248552429E-2</v>
      </c>
      <c r="H18" s="32">
        <v>0.14138190011265489</v>
      </c>
      <c r="I18" s="32">
        <v>0.23172905525846699</v>
      </c>
      <c r="J18" s="33">
        <v>0.2</v>
      </c>
      <c r="K18" s="33">
        <v>0.2</v>
      </c>
      <c r="L18" s="33">
        <v>0.2</v>
      </c>
      <c r="M18" s="30" t="s">
        <v>89</v>
      </c>
    </row>
    <row r="19" spans="2:13" x14ac:dyDescent="0.25">
      <c r="B19" s="31" t="s">
        <v>90</v>
      </c>
      <c r="C19" s="36">
        <v>234</v>
      </c>
      <c r="D19" s="36">
        <v>264</v>
      </c>
      <c r="E19" s="36">
        <v>232</v>
      </c>
      <c r="F19" s="36">
        <v>309</v>
      </c>
      <c r="G19" s="36">
        <v>365</v>
      </c>
      <c r="H19" s="36">
        <v>392</v>
      </c>
      <c r="I19" s="36">
        <v>398</v>
      </c>
      <c r="J19" s="37">
        <v>410</v>
      </c>
      <c r="K19" s="37">
        <v>420</v>
      </c>
      <c r="L19" s="37">
        <v>420</v>
      </c>
      <c r="M19" s="30" t="s">
        <v>91</v>
      </c>
    </row>
    <row r="21" spans="2:13" x14ac:dyDescent="0.25">
      <c r="B21" s="153" t="s">
        <v>92</v>
      </c>
      <c r="C21" s="154"/>
      <c r="D21" s="154"/>
      <c r="E21" s="154"/>
      <c r="F21" s="154"/>
      <c r="G21" s="154"/>
      <c r="H21" s="154"/>
      <c r="I21" s="154"/>
      <c r="J21" s="154"/>
      <c r="K21" s="154"/>
      <c r="L21" s="154"/>
      <c r="M21" s="26"/>
    </row>
    <row r="22" spans="2:13" x14ac:dyDescent="0.25">
      <c r="B22" s="31" t="s">
        <v>93</v>
      </c>
      <c r="C22" s="36">
        <v>704</v>
      </c>
      <c r="D22" s="36">
        <v>866</v>
      </c>
      <c r="E22" s="36">
        <v>908</v>
      </c>
      <c r="F22" s="36">
        <v>706</v>
      </c>
      <c r="G22" s="36">
        <v>596</v>
      </c>
      <c r="H22" s="36">
        <v>516</v>
      </c>
      <c r="I22" s="36">
        <v>505</v>
      </c>
      <c r="J22" s="37">
        <v>900</v>
      </c>
      <c r="K22" s="37">
        <v>850</v>
      </c>
      <c r="L22" s="37">
        <v>800</v>
      </c>
      <c r="M22" s="30" t="s">
        <v>94</v>
      </c>
    </row>
    <row r="23" spans="2:13" x14ac:dyDescent="0.25">
      <c r="B23" s="31" t="s">
        <v>95</v>
      </c>
      <c r="C23" s="32">
        <v>3.9612874184109838E-2</v>
      </c>
      <c r="D23" s="32">
        <v>4.0365433019483553E-2</v>
      </c>
      <c r="E23" s="32">
        <v>3.5788892830396907E-2</v>
      </c>
      <c r="F23" s="32">
        <v>2.5655934297550691E-2</v>
      </c>
      <c r="G23" s="32">
        <v>2.001948204628665E-2</v>
      </c>
      <c r="H23" s="32">
        <v>1.6227946032644588E-2</v>
      </c>
      <c r="I23" s="32">
        <v>1.522368262389967E-2</v>
      </c>
      <c r="J23" s="33">
        <v>2.5999999999999999E-2</v>
      </c>
      <c r="K23" s="33">
        <v>2.4E-2</v>
      </c>
      <c r="L23" s="33">
        <v>2.1000000000000001E-2</v>
      </c>
      <c r="M23" s="30" t="s">
        <v>96</v>
      </c>
    </row>
    <row r="24" spans="2:13" x14ac:dyDescent="0.25">
      <c r="B24" s="31" t="s">
        <v>97</v>
      </c>
      <c r="C24" s="36">
        <v>810</v>
      </c>
      <c r="D24" s="36">
        <v>1011</v>
      </c>
      <c r="E24" s="36">
        <v>1200</v>
      </c>
      <c r="F24" s="36">
        <v>1274</v>
      </c>
      <c r="G24" s="36">
        <v>1290</v>
      </c>
      <c r="H24" s="36">
        <v>1259</v>
      </c>
      <c r="I24" s="36">
        <v>1280</v>
      </c>
      <c r="J24" s="37">
        <v>1300</v>
      </c>
      <c r="K24" s="37">
        <v>1320</v>
      </c>
      <c r="L24" s="37">
        <v>1340</v>
      </c>
      <c r="M24" s="30" t="s">
        <v>98</v>
      </c>
    </row>
    <row r="25" spans="2:13" x14ac:dyDescent="0.25">
      <c r="B25" s="31" t="s">
        <v>99</v>
      </c>
      <c r="C25" s="36">
        <v>1693</v>
      </c>
      <c r="D25" s="36">
        <v>1807</v>
      </c>
      <c r="E25" s="36">
        <v>1909</v>
      </c>
      <c r="F25" s="36">
        <v>2201</v>
      </c>
      <c r="G25" s="36">
        <v>1882</v>
      </c>
      <c r="H25" s="36">
        <v>1581</v>
      </c>
      <c r="I25" s="36">
        <v>1909</v>
      </c>
      <c r="M25" s="30" t="e">
        <f>Prior PP&amp;E + CapEx - Depreciation (formula in BS)</f>
        <v>#NAME?</v>
      </c>
    </row>
    <row r="27" spans="2:13" x14ac:dyDescent="0.25">
      <c r="B27" s="153" t="s">
        <v>100</v>
      </c>
      <c r="C27" s="154"/>
      <c r="D27" s="154"/>
      <c r="E27" s="154"/>
      <c r="F27" s="154"/>
      <c r="G27" s="154"/>
      <c r="H27" s="154"/>
      <c r="I27" s="154"/>
      <c r="J27" s="154"/>
      <c r="K27" s="154"/>
      <c r="L27" s="154"/>
      <c r="M27" s="26"/>
    </row>
    <row r="28" spans="2:13" x14ac:dyDescent="0.25">
      <c r="B28" s="31" t="s">
        <v>101</v>
      </c>
      <c r="C28" s="38">
        <v>1.4300308332404621</v>
      </c>
      <c r="D28" s="38">
        <v>1.3263713683772469</v>
      </c>
      <c r="E28" s="38">
        <v>0.41899649073880407</v>
      </c>
      <c r="F28" s="38">
        <v>1.2758620689655169</v>
      </c>
      <c r="G28" s="38">
        <v>1.2909874963892209</v>
      </c>
      <c r="H28" s="38">
        <v>1.279533963508463</v>
      </c>
      <c r="I28" s="38">
        <v>1.2867170510087631</v>
      </c>
      <c r="M28" s="30" t="e">
        <f>Current Assets / Current Liabilities (calc in BS)</f>
        <v>#NAME?</v>
      </c>
    </row>
    <row r="30" spans="2:13" x14ac:dyDescent="0.25">
      <c r="B30" s="153" t="s">
        <v>102</v>
      </c>
      <c r="C30" s="154"/>
      <c r="D30" s="154"/>
      <c r="E30" s="154"/>
      <c r="F30" s="154"/>
      <c r="G30" s="154"/>
      <c r="H30" s="154"/>
      <c r="I30" s="154"/>
      <c r="J30" s="154"/>
      <c r="K30" s="154"/>
      <c r="L30" s="154"/>
      <c r="M30" s="26"/>
    </row>
    <row r="31" spans="2:13" x14ac:dyDescent="0.25">
      <c r="B31" s="31" t="s">
        <v>103</v>
      </c>
      <c r="C31" s="36">
        <v>4965</v>
      </c>
      <c r="D31" s="36">
        <v>8939</v>
      </c>
      <c r="E31" s="36">
        <v>8049</v>
      </c>
      <c r="F31" s="36">
        <v>10417</v>
      </c>
      <c r="G31" s="36">
        <v>9676</v>
      </c>
      <c r="H31" s="36">
        <v>9879</v>
      </c>
      <c r="I31" s="36">
        <v>9987</v>
      </c>
      <c r="J31" s="37">
        <v>9900</v>
      </c>
      <c r="K31" s="37">
        <v>9800</v>
      </c>
      <c r="L31" s="37">
        <v>9700</v>
      </c>
      <c r="M31" s="30" t="s">
        <v>104</v>
      </c>
    </row>
    <row r="32" spans="2:13" x14ac:dyDescent="0.25">
      <c r="B32" s="31" t="s">
        <v>105</v>
      </c>
      <c r="C32" s="38">
        <v>0.29404797157240148</v>
      </c>
      <c r="D32" s="38">
        <v>0.44652580048953489</v>
      </c>
      <c r="E32" s="38">
        <v>0.37046071708013067</v>
      </c>
      <c r="F32" s="38">
        <v>0.51381079214757819</v>
      </c>
      <c r="G32" s="38">
        <v>0.45964562253574648</v>
      </c>
      <c r="H32" s="38">
        <v>0.48386148797570649</v>
      </c>
      <c r="I32" s="38">
        <v>0.49303909952606628</v>
      </c>
      <c r="M32" s="30" t="s">
        <v>106</v>
      </c>
    </row>
    <row r="33" spans="2:13" x14ac:dyDescent="0.25">
      <c r="B33" s="31" t="s">
        <v>107</v>
      </c>
      <c r="C33" s="39">
        <v>-2384</v>
      </c>
      <c r="D33" s="39">
        <v>4145</v>
      </c>
      <c r="E33" s="39">
        <v>2852</v>
      </c>
      <c r="F33" s="39">
        <v>2641</v>
      </c>
      <c r="G33" s="39">
        <v>595</v>
      </c>
      <c r="H33" s="39">
        <v>3217</v>
      </c>
      <c r="I33" s="39">
        <v>1938</v>
      </c>
      <c r="M33" s="30" t="s">
        <v>108</v>
      </c>
    </row>
    <row r="34" spans="2:13" x14ac:dyDescent="0.25">
      <c r="B34" s="31" t="s">
        <v>109</v>
      </c>
      <c r="C34" s="36">
        <v>3333</v>
      </c>
      <c r="D34" s="36">
        <v>1021</v>
      </c>
      <c r="E34" s="36">
        <v>3397</v>
      </c>
      <c r="F34" s="36">
        <v>4200</v>
      </c>
      <c r="G34" s="36">
        <v>5100</v>
      </c>
      <c r="H34" s="36">
        <v>5400</v>
      </c>
      <c r="I34" s="36">
        <v>6000</v>
      </c>
      <c r="J34" s="37">
        <v>6000</v>
      </c>
      <c r="K34" s="37">
        <v>6000</v>
      </c>
      <c r="L34" s="37">
        <v>6000</v>
      </c>
      <c r="M34" s="30" t="s">
        <v>110</v>
      </c>
    </row>
    <row r="36" spans="2:13" x14ac:dyDescent="0.25">
      <c r="B36" s="153" t="s">
        <v>111</v>
      </c>
      <c r="C36" s="154"/>
      <c r="D36" s="154"/>
      <c r="E36" s="154"/>
      <c r="F36" s="154"/>
      <c r="G36" s="154"/>
      <c r="H36" s="154"/>
      <c r="I36" s="154"/>
      <c r="J36" s="154"/>
      <c r="K36" s="154"/>
      <c r="L36" s="154"/>
      <c r="M36" s="26"/>
    </row>
    <row r="37" spans="2:13" x14ac:dyDescent="0.25">
      <c r="B37" s="31" t="s">
        <v>112</v>
      </c>
      <c r="C37" s="33">
        <v>4.2000000000000003E-2</v>
      </c>
      <c r="M37" s="19" t="s">
        <v>113</v>
      </c>
    </row>
    <row r="38" spans="2:13" x14ac:dyDescent="0.25">
      <c r="B38" s="31" t="s">
        <v>114</v>
      </c>
      <c r="C38" s="33">
        <v>5.5E-2</v>
      </c>
      <c r="M38" s="19" t="s">
        <v>115</v>
      </c>
    </row>
    <row r="39" spans="2:13" x14ac:dyDescent="0.25">
      <c r="B39" s="31" t="s">
        <v>116</v>
      </c>
      <c r="C39" s="40">
        <v>1.4</v>
      </c>
      <c r="M39" s="19" t="s">
        <v>117</v>
      </c>
    </row>
    <row r="40" spans="2:13" x14ac:dyDescent="0.25">
      <c r="B40" s="31" t="s">
        <v>118</v>
      </c>
      <c r="C40" s="41" t="s">
        <v>119</v>
      </c>
      <c r="M40" s="19" t="e">
        <f>Rf + Beta * ERP (formula)</f>
        <v>#NAME?</v>
      </c>
    </row>
    <row r="41" spans="2:13" x14ac:dyDescent="0.25">
      <c r="B41" s="31" t="s">
        <v>120</v>
      </c>
      <c r="C41" s="33">
        <v>4.2000000000000003E-2</v>
      </c>
      <c r="M41" s="19" t="e">
        <f>Interest Expense / Avg Debt</f>
        <v>#NAME?</v>
      </c>
    </row>
    <row r="42" spans="2:13" x14ac:dyDescent="0.25">
      <c r="B42" s="31" t="s">
        <v>121</v>
      </c>
      <c r="C42" s="33">
        <v>0.17499999999999999</v>
      </c>
      <c r="M42" s="19" t="s">
        <v>122</v>
      </c>
    </row>
    <row r="43" spans="2:13" x14ac:dyDescent="0.25">
      <c r="B43" s="31" t="s">
        <v>123</v>
      </c>
      <c r="C43" s="33">
        <v>0.3</v>
      </c>
      <c r="M43" s="19" t="s">
        <v>124</v>
      </c>
    </row>
    <row r="44" spans="2:13" x14ac:dyDescent="0.25">
      <c r="B44" s="31" t="s">
        <v>125</v>
      </c>
      <c r="C44" s="33">
        <v>0.7</v>
      </c>
      <c r="M44" s="19" t="e">
        <f>1 - Debt Weight</f>
        <v>#NAME?</v>
      </c>
    </row>
    <row r="45" spans="2:13" x14ac:dyDescent="0.25">
      <c r="B45" s="31" t="s">
        <v>126</v>
      </c>
      <c r="C45" s="41" t="s">
        <v>119</v>
      </c>
      <c r="M45" s="19"/>
    </row>
    <row r="47" spans="2:13" x14ac:dyDescent="0.25">
      <c r="B47" s="31" t="s">
        <v>127</v>
      </c>
      <c r="C47" s="33">
        <v>1.4999999999999999E-2</v>
      </c>
      <c r="M47" s="19" t="s">
        <v>128</v>
      </c>
    </row>
    <row r="48" spans="2:13" x14ac:dyDescent="0.25">
      <c r="B48" s="31" t="s">
        <v>129</v>
      </c>
      <c r="C48" s="41" t="s">
        <v>119</v>
      </c>
      <c r="M48" s="19" t="s">
        <v>130</v>
      </c>
    </row>
    <row r="50" spans="2:13" x14ac:dyDescent="0.25">
      <c r="B50" s="153" t="s">
        <v>131</v>
      </c>
      <c r="C50" s="154"/>
      <c r="D50" s="154"/>
      <c r="E50" s="154"/>
      <c r="F50" s="154"/>
      <c r="G50" s="154"/>
      <c r="H50" s="154"/>
      <c r="I50" s="154"/>
      <c r="J50" s="154"/>
      <c r="K50" s="154"/>
      <c r="L50" s="154"/>
      <c r="M50" s="26"/>
    </row>
    <row r="51" spans="2:13" x14ac:dyDescent="0.25">
      <c r="B51" s="27" t="s">
        <v>132</v>
      </c>
      <c r="C51" s="28">
        <v>3858</v>
      </c>
      <c r="D51" s="28">
        <v>4987</v>
      </c>
      <c r="E51" s="28">
        <v>5435</v>
      </c>
      <c r="F51" s="28">
        <v>5107</v>
      </c>
      <c r="G51" s="28">
        <v>4247</v>
      </c>
      <c r="H51" s="28">
        <v>5884</v>
      </c>
      <c r="I51" s="28">
        <v>6615</v>
      </c>
      <c r="M51" s="30" t="e">
        <f>Cash from Operations - CapEx</f>
        <v>#NAME?</v>
      </c>
    </row>
    <row r="52" spans="2:13" x14ac:dyDescent="0.25">
      <c r="B52" s="31" t="s">
        <v>133</v>
      </c>
      <c r="C52" s="32">
        <v>0.2170830519918974</v>
      </c>
      <c r="D52" s="32">
        <v>0.23245082502097511</v>
      </c>
      <c r="E52" s="32">
        <v>0.21422096093965551</v>
      </c>
      <c r="F52" s="32">
        <v>0.1855876153790246</v>
      </c>
      <c r="G52" s="32">
        <v>0.1426556044472809</v>
      </c>
      <c r="H52" s="32">
        <v>0.18504890398465271</v>
      </c>
      <c r="I52" s="32">
        <v>0.19941516941999279</v>
      </c>
      <c r="M52" s="30" t="s">
        <v>134</v>
      </c>
    </row>
    <row r="53" spans="2:13" x14ac:dyDescent="0.25">
      <c r="B53" s="27" t="s">
        <v>135</v>
      </c>
      <c r="C53" s="28">
        <v>3477</v>
      </c>
      <c r="D53" s="28">
        <v>4300</v>
      </c>
      <c r="E53" s="28">
        <v>5402</v>
      </c>
      <c r="F53" s="28">
        <v>5410</v>
      </c>
      <c r="G53" s="28">
        <v>6318</v>
      </c>
      <c r="H53" s="28">
        <v>6977</v>
      </c>
      <c r="I53" s="28">
        <v>7288</v>
      </c>
      <c r="M53" s="30" t="e">
        <f>Operating Income + D&amp;A</f>
        <v>#NAME?</v>
      </c>
    </row>
    <row r="54" spans="2:13" x14ac:dyDescent="0.25">
      <c r="B54" s="31" t="s">
        <v>136</v>
      </c>
      <c r="C54" s="32">
        <v>0.19564483457123569</v>
      </c>
      <c r="D54" s="32">
        <v>0.20042882446163879</v>
      </c>
      <c r="E54" s="32">
        <v>0.21292026329273581</v>
      </c>
      <c r="F54" s="32">
        <v>0.19659859001380911</v>
      </c>
      <c r="G54" s="32">
        <v>0.21221994558462931</v>
      </c>
      <c r="H54" s="32">
        <v>0.2194232160266692</v>
      </c>
      <c r="I54" s="32">
        <v>0.21970336428313039</v>
      </c>
    </row>
    <row r="55" spans="2:13" x14ac:dyDescent="0.25">
      <c r="B55" s="31" t="s">
        <v>137</v>
      </c>
      <c r="C55" s="32">
        <v>0.14563221794492151</v>
      </c>
      <c r="D55" s="32">
        <v>0.2099005944352865</v>
      </c>
      <c r="E55" s="32">
        <v>0.19188106963685739</v>
      </c>
      <c r="F55" s="32">
        <v>0.1193153793035415</v>
      </c>
      <c r="G55" s="32">
        <v>0.20170063179896441</v>
      </c>
      <c r="H55" s="32">
        <v>0.22398001665278941</v>
      </c>
      <c r="I55" s="32">
        <v>0.21277646129541861</v>
      </c>
    </row>
    <row r="56" spans="2:13" x14ac:dyDescent="0.25">
      <c r="B56" s="31" t="s">
        <v>138</v>
      </c>
      <c r="C56" s="32">
        <v>5.0024440705711173E-2</v>
      </c>
      <c r="D56" s="32">
        <v>4.137264618434093E-2</v>
      </c>
      <c r="E56" s="32">
        <v>4.9098518539500889E-2</v>
      </c>
      <c r="F56" s="32">
        <v>4.8162262872628717E-2</v>
      </c>
      <c r="G56" s="32">
        <v>5.6757200519942527E-2</v>
      </c>
      <c r="H56" s="32">
        <v>6.5461471212688888E-2</v>
      </c>
      <c r="I56" s="32">
        <v>6.8723309855249284E-2</v>
      </c>
      <c r="M56" s="30" t="e">
        <f>NOPAT / Invested Capital</f>
        <v>#NAME?</v>
      </c>
    </row>
  </sheetData>
  <mergeCells count="9">
    <mergeCell ref="B1:L1"/>
    <mergeCell ref="B50:L50"/>
    <mergeCell ref="B6:L6"/>
    <mergeCell ref="B21:L21"/>
    <mergeCell ref="B30:L30"/>
    <mergeCell ref="B11:L11"/>
    <mergeCell ref="B36:L36"/>
    <mergeCell ref="B17:L17"/>
    <mergeCell ref="B27:L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8A745"/>
  </sheetPr>
  <dimension ref="B1:M60"/>
  <sheetViews>
    <sheetView workbookViewId="0">
      <pane xSplit="2" ySplit="4" topLeftCell="C17" activePane="bottomRight" state="frozen"/>
      <selection pane="topRight"/>
      <selection pane="bottomLeft"/>
      <selection pane="bottomRight" activeCell="J20" sqref="J20"/>
    </sheetView>
  </sheetViews>
  <sheetFormatPr baseColWidth="10" defaultColWidth="9.140625" defaultRowHeight="15" x14ac:dyDescent="0.25"/>
  <cols>
    <col min="1" max="1" width="2" customWidth="1"/>
    <col min="2" max="2" width="30" customWidth="1"/>
    <col min="3" max="12" width="14" customWidth="1"/>
    <col min="13" max="13" width="30" customWidth="1"/>
  </cols>
  <sheetData>
    <row r="1" spans="2:13" ht="18" x14ac:dyDescent="0.25">
      <c r="B1" s="155" t="s">
        <v>139</v>
      </c>
      <c r="C1" s="146"/>
      <c r="D1" s="146"/>
      <c r="E1" s="146"/>
      <c r="F1" s="146"/>
      <c r="G1" s="146"/>
      <c r="H1" s="146"/>
      <c r="I1" s="146"/>
      <c r="J1" s="146"/>
      <c r="K1" s="146"/>
      <c r="L1" s="146"/>
    </row>
    <row r="2" spans="2:13" x14ac:dyDescent="0.25">
      <c r="B2" s="19" t="s">
        <v>140</v>
      </c>
      <c r="M2" s="20" t="s">
        <v>141</v>
      </c>
    </row>
    <row r="3" spans="2:13" x14ac:dyDescent="0.25">
      <c r="B3" s="2"/>
      <c r="C3" s="21" t="s">
        <v>59</v>
      </c>
      <c r="D3" s="21" t="s">
        <v>60</v>
      </c>
      <c r="E3" s="21" t="s">
        <v>61</v>
      </c>
      <c r="F3" s="21" t="s">
        <v>62</v>
      </c>
      <c r="G3" s="21" t="s">
        <v>63</v>
      </c>
      <c r="H3" s="21" t="s">
        <v>64</v>
      </c>
      <c r="I3" s="21" t="s">
        <v>65</v>
      </c>
      <c r="J3" s="22" t="s">
        <v>66</v>
      </c>
      <c r="K3" s="22" t="s">
        <v>67</v>
      </c>
      <c r="L3" s="22" t="s">
        <v>68</v>
      </c>
      <c r="M3" s="2"/>
    </row>
    <row r="4" spans="2:13" x14ac:dyDescent="0.25">
      <c r="C4" s="24" t="s">
        <v>69</v>
      </c>
      <c r="D4" s="24" t="s">
        <v>69</v>
      </c>
      <c r="E4" s="24" t="s">
        <v>69</v>
      </c>
      <c r="F4" s="24" t="s">
        <v>69</v>
      </c>
      <c r="G4" s="24" t="s">
        <v>69</v>
      </c>
      <c r="H4" s="24" t="s">
        <v>69</v>
      </c>
      <c r="I4" s="24" t="s">
        <v>69</v>
      </c>
      <c r="J4" s="25" t="s">
        <v>70</v>
      </c>
      <c r="K4" s="25" t="s">
        <v>70</v>
      </c>
      <c r="L4" s="25" t="s">
        <v>70</v>
      </c>
    </row>
    <row r="6" spans="2:13" x14ac:dyDescent="0.25">
      <c r="B6" s="156" t="s">
        <v>142</v>
      </c>
      <c r="C6" s="154"/>
      <c r="D6" s="154"/>
      <c r="E6" s="154"/>
      <c r="F6" s="154"/>
      <c r="G6" s="154"/>
      <c r="H6" s="154"/>
      <c r="I6" s="154"/>
      <c r="J6" s="154"/>
      <c r="K6" s="154"/>
      <c r="L6" s="154"/>
      <c r="M6" s="26"/>
    </row>
    <row r="7" spans="2:13" x14ac:dyDescent="0.25">
      <c r="B7" s="43" t="s">
        <v>143</v>
      </c>
      <c r="C7" s="44">
        <v>17772</v>
      </c>
      <c r="D7" s="44">
        <v>21454</v>
      </c>
      <c r="E7" s="44">
        <v>25371</v>
      </c>
      <c r="F7" s="44">
        <v>27518</v>
      </c>
      <c r="G7" s="44">
        <v>29771</v>
      </c>
      <c r="H7" s="44">
        <v>31797</v>
      </c>
      <c r="I7" s="44">
        <v>33172</v>
      </c>
      <c r="J7" s="45">
        <f>Assumptions!J7</f>
        <v>34170</v>
      </c>
      <c r="K7" s="45">
        <f>Assumptions!K7</f>
        <v>35540</v>
      </c>
      <c r="L7" s="45">
        <f>Assumptions!L7</f>
        <v>37320</v>
      </c>
      <c r="M7" s="19" t="s">
        <v>144</v>
      </c>
    </row>
    <row r="8" spans="2:13" x14ac:dyDescent="0.25">
      <c r="B8" s="46" t="s">
        <v>145</v>
      </c>
      <c r="D8" s="47">
        <v>0.2071798334458699</v>
      </c>
      <c r="E8" s="47">
        <v>0.18257667567819519</v>
      </c>
      <c r="F8" s="47">
        <v>8.462417721020063E-2</v>
      </c>
      <c r="G8" s="47">
        <v>8.1873682680427357E-2</v>
      </c>
      <c r="H8" s="47">
        <v>6.8052803063383835E-2</v>
      </c>
      <c r="I8" s="47">
        <v>4.32430732459037E-2</v>
      </c>
      <c r="J8" s="48">
        <f>(J7-I7)/I7</f>
        <v>3.0085614373568069E-2</v>
      </c>
      <c r="K8" s="48">
        <f>(K7-J7)/J7</f>
        <v>4.009364940005853E-2</v>
      </c>
      <c r="L8" s="48">
        <f>(L7-K7)/K7</f>
        <v>5.0084411930219473E-2</v>
      </c>
    </row>
    <row r="11" spans="2:13" x14ac:dyDescent="0.25">
      <c r="B11" s="156" t="s">
        <v>146</v>
      </c>
      <c r="C11" s="154"/>
      <c r="D11" s="154"/>
      <c r="E11" s="154"/>
      <c r="F11" s="154"/>
      <c r="G11" s="154"/>
      <c r="H11" s="154"/>
      <c r="I11" s="154"/>
      <c r="J11" s="154"/>
      <c r="K11" s="154"/>
      <c r="L11" s="154"/>
      <c r="M11" s="26"/>
    </row>
    <row r="12" spans="2:13" x14ac:dyDescent="0.25">
      <c r="B12" s="31" t="s">
        <v>147</v>
      </c>
      <c r="C12" s="49">
        <v>10004</v>
      </c>
      <c r="D12" s="49">
        <v>12253</v>
      </c>
      <c r="E12" s="49">
        <v>14233</v>
      </c>
      <c r="F12" s="49">
        <v>15326</v>
      </c>
      <c r="G12" s="49">
        <v>16395</v>
      </c>
      <c r="H12" s="49">
        <v>17141</v>
      </c>
      <c r="I12" s="49">
        <v>17862</v>
      </c>
      <c r="J12" s="50">
        <f>J7*(1-Assumptions!J9)</f>
        <v>18964.349999999999</v>
      </c>
      <c r="K12" s="50">
        <f>K7*(1-Assumptions!K9)</f>
        <v>19618.080000000002</v>
      </c>
      <c r="L12" s="50">
        <f>L7*(1-Assumptions!L9)</f>
        <v>20526</v>
      </c>
      <c r="M12" s="19" t="s">
        <v>148</v>
      </c>
    </row>
    <row r="13" spans="2:13" x14ac:dyDescent="0.25">
      <c r="B13" s="46" t="s">
        <v>149</v>
      </c>
      <c r="C13" s="47">
        <v>0.5629079450821517</v>
      </c>
      <c r="D13" s="47">
        <v>0.57112892700661877</v>
      </c>
      <c r="E13" s="47">
        <v>0.56099483662449257</v>
      </c>
      <c r="F13" s="47">
        <v>0.55694454538847304</v>
      </c>
      <c r="G13" s="47">
        <v>0.55070370494776799</v>
      </c>
      <c r="H13" s="47">
        <v>0.53907601346038936</v>
      </c>
      <c r="I13" s="47">
        <v>0.53846617629325932</v>
      </c>
      <c r="J13" s="48">
        <f>J12/J7</f>
        <v>0.55499999999999994</v>
      </c>
      <c r="K13" s="48">
        <f>K12/K7</f>
        <v>0.55200000000000005</v>
      </c>
      <c r="L13" s="48">
        <f>L12/L7</f>
        <v>0.55000000000000004</v>
      </c>
    </row>
    <row r="15" spans="2:13" x14ac:dyDescent="0.25">
      <c r="B15" s="43" t="s">
        <v>150</v>
      </c>
      <c r="C15" s="44">
        <v>7768</v>
      </c>
      <c r="D15" s="44">
        <v>9201</v>
      </c>
      <c r="E15" s="44">
        <v>11138</v>
      </c>
      <c r="F15" s="44">
        <v>12192</v>
      </c>
      <c r="G15" s="44">
        <v>13376</v>
      </c>
      <c r="H15" s="44">
        <v>14656</v>
      </c>
      <c r="I15" s="44">
        <v>15310</v>
      </c>
      <c r="J15" s="45">
        <f>J7-J12</f>
        <v>15205.650000000001</v>
      </c>
      <c r="K15" s="45">
        <f>K7-K12</f>
        <v>15921.919999999998</v>
      </c>
      <c r="L15" s="45">
        <f>L7-L12</f>
        <v>16794</v>
      </c>
      <c r="M15" s="19" t="s">
        <v>151</v>
      </c>
    </row>
    <row r="16" spans="2:13" x14ac:dyDescent="0.25">
      <c r="B16" s="46" t="s">
        <v>76</v>
      </c>
      <c r="C16" s="47">
        <v>0.4370920549178483</v>
      </c>
      <c r="D16" s="47">
        <v>0.42887107299338117</v>
      </c>
      <c r="E16" s="47">
        <v>0.43900516337550749</v>
      </c>
      <c r="F16" s="47">
        <v>0.44305545461152701</v>
      </c>
      <c r="G16" s="47">
        <v>0.44929629505223212</v>
      </c>
      <c r="H16" s="47">
        <v>0.46092398653961059</v>
      </c>
      <c r="I16" s="47">
        <v>0.46153382370674062</v>
      </c>
      <c r="J16" s="48">
        <f>J15/J7</f>
        <v>0.44500000000000006</v>
      </c>
      <c r="K16" s="48">
        <f>K15/K7</f>
        <v>0.44799999999999995</v>
      </c>
      <c r="L16" s="48">
        <f>L15/L7</f>
        <v>0.45</v>
      </c>
      <c r="M16" s="19" t="s">
        <v>152</v>
      </c>
    </row>
    <row r="19" spans="2:13" x14ac:dyDescent="0.25">
      <c r="B19" s="156" t="s">
        <v>153</v>
      </c>
      <c r="C19" s="154"/>
      <c r="D19" s="154"/>
      <c r="E19" s="154"/>
      <c r="F19" s="154"/>
      <c r="G19" s="154"/>
      <c r="H19" s="154"/>
      <c r="I19" s="154"/>
      <c r="J19" s="154"/>
      <c r="K19" s="154"/>
      <c r="L19" s="154"/>
      <c r="M19" s="26"/>
    </row>
    <row r="20" spans="2:13" x14ac:dyDescent="0.25">
      <c r="B20" s="43" t="s">
        <v>154</v>
      </c>
      <c r="C20" s="44">
        <v>5101</v>
      </c>
      <c r="D20" s="44">
        <v>5912</v>
      </c>
      <c r="E20" s="44">
        <v>6936</v>
      </c>
      <c r="F20" s="44">
        <v>8056</v>
      </c>
      <c r="G20" s="44">
        <v>8348</v>
      </c>
      <c r="H20" s="44">
        <v>8938</v>
      </c>
      <c r="I20" s="44">
        <v>9302</v>
      </c>
      <c r="J20" s="45">
        <f>J7*Assumptions!J12</f>
        <v>9909.2999999999993</v>
      </c>
      <c r="K20" s="45">
        <f>K7*Assumptions!K12</f>
        <v>10128.9</v>
      </c>
      <c r="L20" s="45">
        <f>L7*Assumptions!L12</f>
        <v>10449.6</v>
      </c>
      <c r="M20" s="19" t="s">
        <v>155</v>
      </c>
    </row>
    <row r="21" spans="2:13" x14ac:dyDescent="0.25">
      <c r="B21" s="46" t="s">
        <v>149</v>
      </c>
      <c r="C21" s="47">
        <v>0.28702453297321628</v>
      </c>
      <c r="D21" s="47">
        <v>0.27556632795749042</v>
      </c>
      <c r="E21" s="47">
        <v>0.27338299633439761</v>
      </c>
      <c r="F21" s="47">
        <v>0.2927538338542045</v>
      </c>
      <c r="G21" s="47">
        <v>0.28040710758792109</v>
      </c>
      <c r="H21" s="47">
        <v>0.28109570085228158</v>
      </c>
      <c r="I21" s="47">
        <v>0.2804172193416134</v>
      </c>
      <c r="J21" s="48">
        <f>J20/J7</f>
        <v>0.28999999999999998</v>
      </c>
      <c r="K21" s="48">
        <f>K20/K7</f>
        <v>0.28499999999999998</v>
      </c>
      <c r="L21" s="48">
        <f>L20/L7</f>
        <v>0.28000000000000003</v>
      </c>
    </row>
    <row r="23" spans="2:13" x14ac:dyDescent="0.25">
      <c r="B23" s="43" t="s">
        <v>156</v>
      </c>
      <c r="C23" s="44">
        <v>2667</v>
      </c>
      <c r="D23" s="44">
        <v>3289</v>
      </c>
      <c r="E23" s="44">
        <v>4202</v>
      </c>
      <c r="F23" s="44">
        <v>4136</v>
      </c>
      <c r="G23" s="44">
        <v>5028</v>
      </c>
      <c r="H23" s="44">
        <v>5718</v>
      </c>
      <c r="I23" s="44">
        <v>6008</v>
      </c>
      <c r="J23" s="45">
        <f>J15-J20</f>
        <v>5296.3500000000022</v>
      </c>
      <c r="K23" s="45">
        <f>K15-K20</f>
        <v>5793.0199999999986</v>
      </c>
      <c r="L23" s="45">
        <f>L15-L20</f>
        <v>6344.4</v>
      </c>
      <c r="M23" s="19" t="s">
        <v>157</v>
      </c>
    </row>
    <row r="24" spans="2:13" x14ac:dyDescent="0.25">
      <c r="B24" s="46" t="s">
        <v>81</v>
      </c>
      <c r="C24" s="47">
        <v>0.15006752194463199</v>
      </c>
      <c r="D24" s="47">
        <v>0.15330474503589081</v>
      </c>
      <c r="E24" s="47">
        <v>0.16562216704110991</v>
      </c>
      <c r="F24" s="47">
        <v>0.15030162075732251</v>
      </c>
      <c r="G24" s="47">
        <v>0.16888918746431089</v>
      </c>
      <c r="H24" s="47">
        <v>0.179828285687329</v>
      </c>
      <c r="I24" s="47">
        <v>0.18111660436512719</v>
      </c>
      <c r="J24" s="48">
        <f>J23/J7</f>
        <v>0.15500000000000005</v>
      </c>
      <c r="K24" s="48">
        <f>K23/K7</f>
        <v>0.16299999999999995</v>
      </c>
      <c r="L24" s="48">
        <f>L23/L7</f>
        <v>0.16999999999999998</v>
      </c>
    </row>
    <row r="27" spans="2:13" x14ac:dyDescent="0.25">
      <c r="B27" s="156" t="s">
        <v>158</v>
      </c>
      <c r="C27" s="154"/>
      <c r="D27" s="154"/>
      <c r="E27" s="154"/>
      <c r="F27" s="154"/>
      <c r="G27" s="154"/>
      <c r="H27" s="154"/>
      <c r="I27" s="154"/>
      <c r="J27" s="154"/>
      <c r="K27" s="154"/>
      <c r="L27" s="154"/>
      <c r="M27" s="26"/>
    </row>
    <row r="28" spans="2:13" x14ac:dyDescent="0.25">
      <c r="B28" s="31" t="s">
        <v>159</v>
      </c>
      <c r="C28" s="49">
        <v>93</v>
      </c>
      <c r="D28" s="49">
        <v>48</v>
      </c>
      <c r="E28" s="49">
        <v>23</v>
      </c>
      <c r="F28" s="49">
        <v>150</v>
      </c>
      <c r="G28" s="49">
        <v>482</v>
      </c>
      <c r="H28" s="49">
        <v>532</v>
      </c>
      <c r="I28" s="49">
        <v>498</v>
      </c>
      <c r="J28" s="50">
        <f>380</f>
        <v>380</v>
      </c>
      <c r="K28" s="50">
        <f>350</f>
        <v>350</v>
      </c>
      <c r="L28" s="50">
        <f>330</f>
        <v>330</v>
      </c>
      <c r="M28" s="19" t="s">
        <v>160</v>
      </c>
    </row>
    <row r="29" spans="2:13" x14ac:dyDescent="0.25">
      <c r="B29" s="31" t="s">
        <v>161</v>
      </c>
      <c r="C29" s="49">
        <v>-234</v>
      </c>
      <c r="D29" s="49">
        <v>-264</v>
      </c>
      <c r="E29" s="49">
        <v>-232</v>
      </c>
      <c r="F29" s="49">
        <v>-309</v>
      </c>
      <c r="G29" s="49">
        <v>-365</v>
      </c>
      <c r="H29" s="49">
        <v>-392</v>
      </c>
      <c r="I29" s="49">
        <v>-398</v>
      </c>
      <c r="J29" s="50">
        <f>-Assumptions!J19</f>
        <v>-410</v>
      </c>
      <c r="K29" s="50">
        <f>-Assumptions!K19</f>
        <v>-420</v>
      </c>
      <c r="L29" s="50">
        <f>-Assumptions!L19</f>
        <v>-420</v>
      </c>
      <c r="M29" s="19" t="s">
        <v>162</v>
      </c>
    </row>
    <row r="30" spans="2:13" x14ac:dyDescent="0.25">
      <c r="B30" s="31" t="s">
        <v>163</v>
      </c>
      <c r="C30" s="49">
        <v>120</v>
      </c>
      <c r="D30" s="49">
        <v>1776</v>
      </c>
      <c r="E30" s="49">
        <v>-16</v>
      </c>
      <c r="F30" s="49">
        <v>-494</v>
      </c>
      <c r="G30" s="49">
        <v>-64</v>
      </c>
      <c r="H30" s="49">
        <v>10</v>
      </c>
      <c r="I30" s="49">
        <v>-271</v>
      </c>
      <c r="J30" s="50">
        <f>0</f>
        <v>0</v>
      </c>
      <c r="K30" s="50">
        <f>0</f>
        <v>0</v>
      </c>
      <c r="L30" s="50">
        <f>0</f>
        <v>0</v>
      </c>
      <c r="M30" s="19" t="s">
        <v>164</v>
      </c>
    </row>
    <row r="32" spans="2:13" x14ac:dyDescent="0.25">
      <c r="B32" s="43" t="s">
        <v>165</v>
      </c>
      <c r="C32" s="44">
        <v>2646</v>
      </c>
      <c r="D32" s="44">
        <v>4849</v>
      </c>
      <c r="E32" s="44">
        <v>3977</v>
      </c>
      <c r="F32" s="44">
        <v>3483</v>
      </c>
      <c r="G32" s="44">
        <v>5081</v>
      </c>
      <c r="H32" s="44">
        <v>5868</v>
      </c>
      <c r="I32" s="44">
        <v>5837</v>
      </c>
      <c r="J32" s="45">
        <f>J23+J28+J29+J30</f>
        <v>5266.3500000000022</v>
      </c>
      <c r="K32" s="45">
        <f>K23+K28+K29+K30</f>
        <v>5723.0199999999986</v>
      </c>
      <c r="L32" s="45">
        <f>L23+L28+L29+L30</f>
        <v>6254.4</v>
      </c>
      <c r="M32" s="19" t="s">
        <v>166</v>
      </c>
    </row>
    <row r="35" spans="2:13" x14ac:dyDescent="0.25">
      <c r="B35" s="156" t="s">
        <v>167</v>
      </c>
      <c r="C35" s="154"/>
      <c r="D35" s="154"/>
      <c r="E35" s="154"/>
      <c r="F35" s="154"/>
      <c r="G35" s="154"/>
      <c r="H35" s="154"/>
      <c r="I35" s="154"/>
      <c r="J35" s="154"/>
      <c r="K35" s="154"/>
      <c r="L35" s="154"/>
      <c r="M35" s="26"/>
    </row>
    <row r="36" spans="2:13" x14ac:dyDescent="0.25">
      <c r="B36" s="31" t="s">
        <v>168</v>
      </c>
      <c r="C36" s="49">
        <v>187</v>
      </c>
      <c r="D36" s="49">
        <v>647</v>
      </c>
      <c r="E36" s="49">
        <v>-192</v>
      </c>
      <c r="F36" s="49">
        <v>1064</v>
      </c>
      <c r="G36" s="49">
        <v>835</v>
      </c>
      <c r="H36" s="49">
        <v>1295</v>
      </c>
      <c r="I36" s="49">
        <v>1527</v>
      </c>
      <c r="J36" s="50">
        <f>J32*Assumptions!J18</f>
        <v>1053.2700000000004</v>
      </c>
      <c r="K36" s="50">
        <f>K32*Assumptions!K18</f>
        <v>1144.6039999999998</v>
      </c>
      <c r="L36" s="50">
        <f>L32*Assumptions!L18</f>
        <v>1250.8800000000001</v>
      </c>
      <c r="M36" s="19" t="s">
        <v>169</v>
      </c>
    </row>
    <row r="37" spans="2:13" x14ac:dyDescent="0.25">
      <c r="B37" s="46" t="s">
        <v>170</v>
      </c>
      <c r="C37" s="47">
        <v>7.0672713529856393E-2</v>
      </c>
      <c r="D37" s="47">
        <v>0.1334295731078573</v>
      </c>
      <c r="E37" s="47">
        <v>-4.8277596178023643E-2</v>
      </c>
      <c r="F37" s="47">
        <v>0.30548377835199542</v>
      </c>
      <c r="G37" s="47">
        <v>0.16433772879354461</v>
      </c>
      <c r="H37" s="47">
        <v>0.2206884798909339</v>
      </c>
      <c r="I37" s="47">
        <v>0.26160698989206782</v>
      </c>
      <c r="J37" s="48">
        <f>IF(J32=0,0,J36/J32)</f>
        <v>0.2</v>
      </c>
      <c r="K37" s="48">
        <f>IF(K32=0,0,K36/K32)</f>
        <v>0.2</v>
      </c>
      <c r="L37" s="48">
        <f>IF(L32=0,0,L36/L32)</f>
        <v>0.20000000000000004</v>
      </c>
    </row>
    <row r="39" spans="2:13" x14ac:dyDescent="0.25">
      <c r="B39" s="43" t="s">
        <v>171</v>
      </c>
      <c r="C39" s="51">
        <v>2459</v>
      </c>
      <c r="D39" s="51">
        <v>4202</v>
      </c>
      <c r="E39" s="51">
        <v>4169</v>
      </c>
      <c r="F39" s="51">
        <v>2419</v>
      </c>
      <c r="G39" s="51">
        <v>4246</v>
      </c>
      <c r="H39" s="51">
        <v>4573</v>
      </c>
      <c r="I39" s="51">
        <v>4310</v>
      </c>
      <c r="J39" s="52">
        <f>J32-J36</f>
        <v>4213.0800000000017</v>
      </c>
      <c r="K39" s="52">
        <f>K32-K36</f>
        <v>4578.4159999999993</v>
      </c>
      <c r="L39" s="52">
        <f>L32-L36</f>
        <v>5003.5199999999995</v>
      </c>
      <c r="M39" s="19" t="s">
        <v>172</v>
      </c>
    </row>
    <row r="40" spans="2:13" x14ac:dyDescent="0.25">
      <c r="B40" s="46" t="s">
        <v>173</v>
      </c>
      <c r="C40" s="47">
        <v>0.1383637182084177</v>
      </c>
      <c r="D40" s="47">
        <v>0.1958609117180945</v>
      </c>
      <c r="E40" s="47">
        <v>0.16432146939419021</v>
      </c>
      <c r="F40" s="47">
        <v>8.7906097826876958E-2</v>
      </c>
      <c r="G40" s="47">
        <v>0.1426220147123039</v>
      </c>
      <c r="H40" s="47">
        <v>0.1438185992389219</v>
      </c>
      <c r="I40" s="47">
        <v>0.12992885566140119</v>
      </c>
      <c r="J40" s="48">
        <f>J39/J7</f>
        <v>0.12329762949956106</v>
      </c>
      <c r="K40" s="48">
        <f>K39/K7</f>
        <v>0.12882431063590319</v>
      </c>
      <c r="L40" s="48">
        <f>L39/L7</f>
        <v>0.13407073954983922</v>
      </c>
    </row>
    <row r="41" spans="2:13" x14ac:dyDescent="0.25">
      <c r="B41" s="46" t="s">
        <v>145</v>
      </c>
      <c r="D41" s="47">
        <v>0.70882472549816999</v>
      </c>
      <c r="E41" s="47">
        <v>-7.8534031413612562E-3</v>
      </c>
      <c r="F41" s="47">
        <v>-0.41976493163828249</v>
      </c>
      <c r="G41" s="47">
        <v>0.75527077304671353</v>
      </c>
      <c r="H41" s="47">
        <v>7.7013659915214319E-2</v>
      </c>
      <c r="I41" s="47">
        <v>-5.7511480428602671E-2</v>
      </c>
      <c r="J41" s="48">
        <f>(J39-I39)/ABS(I39)</f>
        <v>-2.2487238979117925E-2</v>
      </c>
      <c r="K41" s="48">
        <f>(K39-J39)/ABS(J39)</f>
        <v>8.6714707529882501E-2</v>
      </c>
      <c r="L41" s="48">
        <f>(L39-K39)/ABS(K39)</f>
        <v>9.2849579417859873E-2</v>
      </c>
    </row>
    <row r="44" spans="2:13" x14ac:dyDescent="0.25">
      <c r="B44" s="156" t="s">
        <v>174</v>
      </c>
      <c r="C44" s="154"/>
      <c r="D44" s="154"/>
      <c r="E44" s="154"/>
      <c r="F44" s="154"/>
      <c r="G44" s="154"/>
      <c r="H44" s="154"/>
      <c r="I44" s="154"/>
      <c r="J44" s="154"/>
      <c r="K44" s="154"/>
      <c r="L44" s="154"/>
      <c r="M44" s="26"/>
    </row>
    <row r="45" spans="2:13" x14ac:dyDescent="0.25">
      <c r="B45" s="31" t="s">
        <v>175</v>
      </c>
      <c r="C45" s="53">
        <v>1188</v>
      </c>
      <c r="D45" s="53">
        <v>1187</v>
      </c>
      <c r="E45" s="53">
        <v>1183</v>
      </c>
      <c r="F45" s="53">
        <v>1156</v>
      </c>
      <c r="G45" s="53">
        <v>1105</v>
      </c>
      <c r="H45" s="53">
        <v>1053</v>
      </c>
      <c r="I45" s="53">
        <v>941</v>
      </c>
      <c r="J45" s="54">
        <v>940</v>
      </c>
      <c r="K45" s="54">
        <v>890</v>
      </c>
      <c r="L45" s="54">
        <v>840</v>
      </c>
      <c r="M45" s="19" t="s">
        <v>176</v>
      </c>
    </row>
    <row r="46" spans="2:13" x14ac:dyDescent="0.25">
      <c r="B46" s="43" t="s">
        <v>177</v>
      </c>
      <c r="C46" s="55">
        <v>2.0699999999999998</v>
      </c>
      <c r="D46" s="55">
        <v>3.54</v>
      </c>
      <c r="E46" s="55">
        <v>3.52</v>
      </c>
      <c r="F46" s="55">
        <v>2.09</v>
      </c>
      <c r="G46" s="55">
        <v>3.84</v>
      </c>
      <c r="H46" s="55">
        <v>4.34</v>
      </c>
      <c r="I46" s="55">
        <v>4.58</v>
      </c>
      <c r="J46" s="56">
        <f>J39/J45</f>
        <v>4.482000000000002</v>
      </c>
      <c r="K46" s="56">
        <f>K39/K45</f>
        <v>5.1442876404494378</v>
      </c>
      <c r="L46" s="56">
        <f>L39/L45</f>
        <v>5.9565714285714284</v>
      </c>
      <c r="M46" s="19" t="s">
        <v>178</v>
      </c>
    </row>
    <row r="47" spans="2:13" x14ac:dyDescent="0.25">
      <c r="B47" s="46" t="s">
        <v>179</v>
      </c>
      <c r="D47" s="47">
        <v>0.71014492753623204</v>
      </c>
      <c r="E47" s="47">
        <v>-5.649717514124299E-3</v>
      </c>
      <c r="F47" s="47">
        <v>-0.40625000000000011</v>
      </c>
      <c r="G47" s="47">
        <v>0.83732057416267947</v>
      </c>
      <c r="H47" s="47">
        <v>0.13020833333333329</v>
      </c>
      <c r="I47" s="47">
        <v>5.5299539170506957E-2</v>
      </c>
      <c r="J47" s="48">
        <f>(J46-I46)/ABS(I46)</f>
        <v>-2.1397379912663338E-2</v>
      </c>
      <c r="K47" s="48">
        <f>(K46-J46)/ABS(J46)</f>
        <v>0.1477660955933591</v>
      </c>
      <c r="L47" s="48">
        <f>(L46-K46)/ABS(K46)</f>
        <v>0.15790014962130391</v>
      </c>
    </row>
    <row r="50" spans="2:2" x14ac:dyDescent="0.25">
      <c r="B50" s="19" t="s">
        <v>180</v>
      </c>
    </row>
    <row r="51" spans="2:2" x14ac:dyDescent="0.25">
      <c r="B51" s="57" t="s">
        <v>181</v>
      </c>
    </row>
    <row r="52" spans="2:2" x14ac:dyDescent="0.25">
      <c r="B52" s="57" t="s">
        <v>182</v>
      </c>
    </row>
    <row r="53" spans="2:2" x14ac:dyDescent="0.25">
      <c r="B53" s="57" t="s">
        <v>183</v>
      </c>
    </row>
    <row r="54" spans="2:2" x14ac:dyDescent="0.25">
      <c r="B54" s="57" t="s">
        <v>184</v>
      </c>
    </row>
    <row r="55" spans="2:2" x14ac:dyDescent="0.25">
      <c r="B55" s="57" t="s">
        <v>185</v>
      </c>
    </row>
    <row r="56" spans="2:2" x14ac:dyDescent="0.25">
      <c r="B56" s="57" t="s">
        <v>186</v>
      </c>
    </row>
    <row r="57" spans="2:2" x14ac:dyDescent="0.25">
      <c r="B57" s="57" t="s">
        <v>187</v>
      </c>
    </row>
    <row r="58" spans="2:2" x14ac:dyDescent="0.25">
      <c r="B58" s="57" t="s">
        <v>188</v>
      </c>
    </row>
    <row r="59" spans="2:2" x14ac:dyDescent="0.25">
      <c r="B59" s="57" t="s">
        <v>189</v>
      </c>
    </row>
    <row r="60" spans="2:2" x14ac:dyDescent="0.25">
      <c r="B60" s="57" t="s">
        <v>190</v>
      </c>
    </row>
  </sheetData>
  <mergeCells count="7">
    <mergeCell ref="B1:L1"/>
    <mergeCell ref="B35:L35"/>
    <mergeCell ref="B6:L6"/>
    <mergeCell ref="B44:L44"/>
    <mergeCell ref="B11:L11"/>
    <mergeCell ref="B19:L19"/>
    <mergeCell ref="B27:L2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A2B8"/>
  </sheetPr>
  <dimension ref="B1:M77"/>
  <sheetViews>
    <sheetView tabSelected="1" workbookViewId="0">
      <pane xSplit="2" ySplit="4" topLeftCell="C11" activePane="bottomRight" state="frozen"/>
      <selection pane="topRight"/>
      <selection pane="bottomLeft"/>
      <selection pane="bottomRight" activeCell="I43" sqref="I43"/>
    </sheetView>
  </sheetViews>
  <sheetFormatPr baseColWidth="10" defaultColWidth="9.140625" defaultRowHeight="15" x14ac:dyDescent="0.25"/>
  <cols>
    <col min="1" max="1" width="2" customWidth="1"/>
    <col min="2" max="2" width="32" customWidth="1"/>
    <col min="3" max="12" width="14" customWidth="1"/>
    <col min="13" max="13" width="35" customWidth="1"/>
  </cols>
  <sheetData>
    <row r="1" spans="2:13" ht="18" x14ac:dyDescent="0.25">
      <c r="B1" s="155" t="s">
        <v>191</v>
      </c>
      <c r="C1" s="146"/>
      <c r="D1" s="146"/>
      <c r="E1" s="146"/>
      <c r="F1" s="146"/>
      <c r="G1" s="146"/>
      <c r="H1" s="146"/>
      <c r="I1" s="146"/>
      <c r="J1" s="146"/>
      <c r="K1" s="146"/>
      <c r="L1" s="146"/>
    </row>
    <row r="2" spans="2:13" x14ac:dyDescent="0.25">
      <c r="B2" s="19" t="s">
        <v>192</v>
      </c>
      <c r="M2" s="20" t="s">
        <v>141</v>
      </c>
    </row>
    <row r="3" spans="2:13" x14ac:dyDescent="0.25">
      <c r="B3" s="2"/>
      <c r="C3" s="21" t="s">
        <v>59</v>
      </c>
      <c r="D3" s="21" t="s">
        <v>60</v>
      </c>
      <c r="E3" s="21" t="s">
        <v>61</v>
      </c>
      <c r="F3" s="21" t="s">
        <v>62</v>
      </c>
      <c r="G3" s="21" t="s">
        <v>63</v>
      </c>
      <c r="H3" s="21" t="s">
        <v>64</v>
      </c>
      <c r="I3" s="21" t="s">
        <v>65</v>
      </c>
      <c r="J3" s="22" t="s">
        <v>66</v>
      </c>
      <c r="K3" s="22" t="s">
        <v>67</v>
      </c>
      <c r="L3" s="22" t="s">
        <v>68</v>
      </c>
      <c r="M3" s="2"/>
    </row>
    <row r="4" spans="2:13" x14ac:dyDescent="0.25">
      <c r="C4" s="24" t="s">
        <v>69</v>
      </c>
      <c r="D4" s="24" t="s">
        <v>69</v>
      </c>
      <c r="E4" s="24" t="s">
        <v>69</v>
      </c>
      <c r="F4" s="24" t="s">
        <v>69</v>
      </c>
      <c r="G4" s="24" t="s">
        <v>69</v>
      </c>
      <c r="H4" s="24" t="s">
        <v>69</v>
      </c>
      <c r="I4" s="24" t="s">
        <v>69</v>
      </c>
      <c r="J4" s="25" t="s">
        <v>70</v>
      </c>
      <c r="K4" s="25" t="s">
        <v>70</v>
      </c>
      <c r="L4" s="25" t="s">
        <v>70</v>
      </c>
    </row>
    <row r="6" spans="2:13" x14ac:dyDescent="0.25">
      <c r="B6" s="156" t="s">
        <v>193</v>
      </c>
      <c r="C6" s="154"/>
      <c r="D6" s="154"/>
      <c r="E6" s="154"/>
      <c r="F6" s="154"/>
      <c r="G6" s="154"/>
      <c r="H6" s="154"/>
      <c r="I6" s="154"/>
      <c r="J6" s="154"/>
      <c r="K6" s="154"/>
      <c r="L6" s="154"/>
      <c r="M6" s="26"/>
    </row>
    <row r="7" spans="2:13" x14ac:dyDescent="0.25">
      <c r="B7" s="31" t="s">
        <v>194</v>
      </c>
      <c r="C7" s="49">
        <v>7349</v>
      </c>
      <c r="D7" s="49">
        <v>4794</v>
      </c>
      <c r="E7" s="49">
        <v>5197</v>
      </c>
      <c r="F7" s="49">
        <v>7776</v>
      </c>
      <c r="G7" s="49">
        <v>9081</v>
      </c>
      <c r="H7" s="49">
        <v>6662</v>
      </c>
      <c r="I7" s="49">
        <v>8049</v>
      </c>
      <c r="J7" s="62">
        <f>'Cash Flow'!J44</f>
        <v>7858.3586361992038</v>
      </c>
      <c r="K7" s="62">
        <f>'Cash Flow'!K44</f>
        <v>8504.1074548293727</v>
      </c>
      <c r="L7" s="62">
        <f>'Cash Flow'!L44</f>
        <v>10114.872716429159</v>
      </c>
      <c r="M7" s="63" t="s">
        <v>195</v>
      </c>
    </row>
    <row r="8" spans="2:13" x14ac:dyDescent="0.25">
      <c r="B8" s="31" t="s">
        <v>196</v>
      </c>
      <c r="C8" s="49">
        <v>3412</v>
      </c>
      <c r="D8" s="49">
        <v>8289</v>
      </c>
      <c r="E8" s="49">
        <v>109</v>
      </c>
      <c r="F8" s="49">
        <v>3075</v>
      </c>
      <c r="G8" s="49">
        <v>4976</v>
      </c>
      <c r="H8" s="49">
        <v>4261</v>
      </c>
      <c r="I8" s="49">
        <v>2373</v>
      </c>
      <c r="J8" s="50">
        <f>I8</f>
        <v>2373</v>
      </c>
      <c r="K8" s="50">
        <f>J8</f>
        <v>2373</v>
      </c>
      <c r="L8" s="50">
        <f>K8</f>
        <v>2373</v>
      </c>
      <c r="M8" s="19" t="s">
        <v>197</v>
      </c>
    </row>
    <row r="9" spans="2:13" x14ac:dyDescent="0.25">
      <c r="B9" s="31" t="s">
        <v>198</v>
      </c>
      <c r="C9" s="49">
        <v>435</v>
      </c>
      <c r="D9" s="49">
        <v>577</v>
      </c>
      <c r="E9" s="49">
        <v>12723</v>
      </c>
      <c r="F9" s="49">
        <v>2201</v>
      </c>
      <c r="G9" s="49">
        <v>1882</v>
      </c>
      <c r="H9" s="49">
        <v>1581</v>
      </c>
      <c r="I9" s="49">
        <v>1909</v>
      </c>
      <c r="J9" s="50">
        <f>I9*('Income Statement'!J7/'Income Statement'!I7)</f>
        <v>1966.4334378391416</v>
      </c>
      <c r="K9" s="50">
        <f>J9*('Income Statement'!K7/'Income Statement'!J7)</f>
        <v>2045.2749306644159</v>
      </c>
      <c r="L9" s="50">
        <f>K9*('Income Statement'!L7/'Income Statement'!K7)</f>
        <v>2147.7113228023636</v>
      </c>
      <c r="M9" s="19" t="s">
        <v>199</v>
      </c>
    </row>
    <row r="10" spans="2:13" x14ac:dyDescent="0.25">
      <c r="B10" s="31" t="s">
        <v>200</v>
      </c>
      <c r="C10" s="49">
        <v>27299</v>
      </c>
      <c r="D10" s="49">
        <v>37335</v>
      </c>
      <c r="E10" s="49">
        <v>0</v>
      </c>
      <c r="F10" s="49">
        <v>44372</v>
      </c>
      <c r="G10" s="49">
        <v>46630</v>
      </c>
      <c r="H10" s="49">
        <v>45702</v>
      </c>
      <c r="I10" s="49">
        <v>47428</v>
      </c>
      <c r="J10" s="50">
        <f>I10*1.03</f>
        <v>48850.840000000004</v>
      </c>
      <c r="K10" s="50">
        <f>J10*1.03</f>
        <v>50316.365200000007</v>
      </c>
      <c r="L10" s="50">
        <f>K10*1.03</f>
        <v>51825.856156000009</v>
      </c>
      <c r="M10" s="19" t="s">
        <v>201</v>
      </c>
    </row>
    <row r="12" spans="2:13" x14ac:dyDescent="0.25">
      <c r="B12" s="43" t="s">
        <v>202</v>
      </c>
      <c r="C12" s="44">
        <v>38495</v>
      </c>
      <c r="D12" s="44">
        <v>50995</v>
      </c>
      <c r="E12" s="44">
        <v>18029</v>
      </c>
      <c r="F12" s="44">
        <v>57424</v>
      </c>
      <c r="G12" s="44">
        <v>62569</v>
      </c>
      <c r="H12" s="44">
        <v>58206</v>
      </c>
      <c r="I12" s="44">
        <v>59759</v>
      </c>
      <c r="J12" s="45">
        <f>SUM(J7:J10)</f>
        <v>61048.632074038353</v>
      </c>
      <c r="K12" s="45">
        <f>SUM(K7:K10)</f>
        <v>63238.747585493795</v>
      </c>
      <c r="L12" s="45">
        <f>SUM(L7:L10)</f>
        <v>66461.440195231524</v>
      </c>
      <c r="M12" s="19" t="s">
        <v>203</v>
      </c>
    </row>
    <row r="15" spans="2:13" x14ac:dyDescent="0.25">
      <c r="B15" s="156" t="s">
        <v>204</v>
      </c>
      <c r="C15" s="154"/>
      <c r="D15" s="154"/>
      <c r="E15" s="154"/>
      <c r="F15" s="154"/>
      <c r="G15" s="154"/>
      <c r="H15" s="154"/>
      <c r="I15" s="154"/>
      <c r="J15" s="154"/>
      <c r="K15" s="154"/>
      <c r="L15" s="154"/>
      <c r="M15" s="26"/>
    </row>
    <row r="16" spans="2:13" x14ac:dyDescent="0.25">
      <c r="B16" s="31" t="s">
        <v>205</v>
      </c>
      <c r="C16" s="49">
        <v>1693</v>
      </c>
      <c r="D16" s="49">
        <v>1807</v>
      </c>
      <c r="E16" s="49">
        <v>1909</v>
      </c>
      <c r="F16" s="49">
        <v>2201</v>
      </c>
      <c r="G16" s="49">
        <v>1882</v>
      </c>
      <c r="H16" s="49">
        <v>1581</v>
      </c>
      <c r="I16" s="49">
        <v>1909</v>
      </c>
      <c r="J16" s="50">
        <f>I16+Assumptions!J22-Assumptions!J24</f>
        <v>1509</v>
      </c>
      <c r="K16" s="50">
        <f>J16+Assumptions!K22-Assumptions!K24</f>
        <v>1039</v>
      </c>
      <c r="L16" s="50">
        <f>K16+Assumptions!L22-Assumptions!L24</f>
        <v>499</v>
      </c>
      <c r="M16" s="19" t="s">
        <v>206</v>
      </c>
    </row>
    <row r="17" spans="2:13" x14ac:dyDescent="0.25">
      <c r="B17" s="31" t="s">
        <v>207</v>
      </c>
      <c r="C17" s="49">
        <v>6212</v>
      </c>
      <c r="D17" s="49">
        <v>9135</v>
      </c>
      <c r="E17" s="49">
        <v>11454</v>
      </c>
      <c r="F17" s="49">
        <v>11209</v>
      </c>
      <c r="G17" s="49">
        <v>11026</v>
      </c>
      <c r="H17" s="49">
        <v>10837</v>
      </c>
      <c r="I17" s="49">
        <v>10864</v>
      </c>
      <c r="J17" s="50">
        <f t="shared" ref="J17:L19" si="0">I17</f>
        <v>10864</v>
      </c>
      <c r="K17" s="50">
        <f t="shared" si="0"/>
        <v>10864</v>
      </c>
      <c r="L17" s="50">
        <f t="shared" si="0"/>
        <v>10864</v>
      </c>
      <c r="M17" s="19" t="s">
        <v>208</v>
      </c>
    </row>
    <row r="18" spans="2:13" x14ac:dyDescent="0.25">
      <c r="B18" s="31" t="s">
        <v>209</v>
      </c>
      <c r="C18" s="49">
        <v>778</v>
      </c>
      <c r="D18" s="49">
        <v>1048</v>
      </c>
      <c r="E18" s="49">
        <v>1332</v>
      </c>
      <c r="F18" s="49">
        <v>1730</v>
      </c>
      <c r="G18" s="49">
        <v>1488</v>
      </c>
      <c r="H18" s="49">
        <v>1508</v>
      </c>
      <c r="I18" s="49">
        <v>1700</v>
      </c>
      <c r="J18" s="50">
        <f t="shared" si="0"/>
        <v>1700</v>
      </c>
      <c r="K18" s="50">
        <f t="shared" si="0"/>
        <v>1700</v>
      </c>
      <c r="L18" s="50">
        <f t="shared" si="0"/>
        <v>1700</v>
      </c>
      <c r="M18" s="19" t="s">
        <v>208</v>
      </c>
    </row>
    <row r="19" spans="2:13" x14ac:dyDescent="0.25">
      <c r="B19" s="31" t="s">
        <v>210</v>
      </c>
      <c r="C19" s="49">
        <v>4155</v>
      </c>
      <c r="D19" s="49">
        <v>7394</v>
      </c>
      <c r="E19" s="49">
        <v>43079</v>
      </c>
      <c r="F19" s="49">
        <v>6060</v>
      </c>
      <c r="G19" s="49">
        <v>5201</v>
      </c>
      <c r="H19" s="49">
        <v>6593</v>
      </c>
      <c r="I19" s="49">
        <v>5941</v>
      </c>
      <c r="J19" s="50">
        <f t="shared" si="0"/>
        <v>5941</v>
      </c>
      <c r="K19" s="50">
        <f t="shared" si="0"/>
        <v>5941</v>
      </c>
      <c r="L19" s="50">
        <f t="shared" si="0"/>
        <v>5941</v>
      </c>
      <c r="M19" s="19" t="s">
        <v>211</v>
      </c>
    </row>
    <row r="21" spans="2:13" x14ac:dyDescent="0.25">
      <c r="B21" s="43" t="s">
        <v>212</v>
      </c>
      <c r="C21" s="51">
        <v>51333</v>
      </c>
      <c r="D21" s="51">
        <v>70379</v>
      </c>
      <c r="E21" s="51">
        <v>75803</v>
      </c>
      <c r="F21" s="51">
        <v>78624</v>
      </c>
      <c r="G21" s="51">
        <v>82166</v>
      </c>
      <c r="H21" s="51">
        <v>78725</v>
      </c>
      <c r="I21" s="51">
        <v>80173</v>
      </c>
      <c r="J21" s="52">
        <f>J12+J16+J17+J18+J19</f>
        <v>81062.632074038353</v>
      </c>
      <c r="K21" s="52">
        <f>K12+K16+K17+K18+K19</f>
        <v>82782.747585493795</v>
      </c>
      <c r="L21" s="52">
        <f>L12+L16+L17+L18+L19</f>
        <v>85465.440195231524</v>
      </c>
      <c r="M21" s="19" t="s">
        <v>213</v>
      </c>
    </row>
    <row r="25" spans="2:13" x14ac:dyDescent="0.25">
      <c r="B25" s="156" t="s">
        <v>214</v>
      </c>
      <c r="C25" s="154"/>
      <c r="D25" s="154"/>
      <c r="E25" s="154"/>
      <c r="F25" s="154"/>
      <c r="G25" s="154"/>
      <c r="H25" s="154"/>
      <c r="I25" s="154"/>
      <c r="J25" s="154"/>
      <c r="K25" s="154"/>
      <c r="L25" s="154"/>
      <c r="M25" s="26"/>
    </row>
    <row r="26" spans="2:13" x14ac:dyDescent="0.25">
      <c r="B26" s="31" t="s">
        <v>215</v>
      </c>
      <c r="C26" s="49">
        <v>232</v>
      </c>
      <c r="D26" s="49">
        <v>252</v>
      </c>
      <c r="E26" s="49">
        <v>197</v>
      </c>
      <c r="F26" s="49">
        <v>40140</v>
      </c>
      <c r="G26" s="49">
        <v>42074</v>
      </c>
      <c r="H26" s="49">
        <v>39898</v>
      </c>
      <c r="I26" s="49">
        <v>40438</v>
      </c>
      <c r="J26" s="50">
        <f>I26*('Income Statement'!J7/'Income Statement'!I7)</f>
        <v>41654.602074038346</v>
      </c>
      <c r="K26" s="50">
        <f>J26*('Income Statement'!K7/'Income Statement'!J7)</f>
        <v>43324.687085493795</v>
      </c>
      <c r="L26" s="50">
        <f>K26*('Income Statement'!L7/'Income Statement'!K7)</f>
        <v>45494.57856023153</v>
      </c>
      <c r="M26" s="19" t="s">
        <v>199</v>
      </c>
    </row>
    <row r="27" spans="2:13" x14ac:dyDescent="0.25">
      <c r="B27" s="31" t="s">
        <v>216</v>
      </c>
      <c r="C27" s="49">
        <v>26687</v>
      </c>
      <c r="D27" s="49">
        <v>38195</v>
      </c>
      <c r="E27" s="49">
        <v>42832</v>
      </c>
      <c r="F27" s="49">
        <v>4868</v>
      </c>
      <c r="G27" s="49">
        <v>6392</v>
      </c>
      <c r="H27" s="49">
        <v>5592</v>
      </c>
      <c r="I27" s="49">
        <v>6005</v>
      </c>
      <c r="J27" s="50">
        <f>I27*1.03</f>
        <v>6185.1500000000005</v>
      </c>
      <c r="K27" s="50">
        <f>J27*1.03</f>
        <v>6370.7045000000007</v>
      </c>
      <c r="L27" s="50">
        <f>K27*1.03</f>
        <v>6561.8256350000011</v>
      </c>
      <c r="M27" s="19" t="s">
        <v>217</v>
      </c>
    </row>
    <row r="29" spans="2:13" x14ac:dyDescent="0.25">
      <c r="B29" s="43" t="s">
        <v>218</v>
      </c>
      <c r="C29" s="44">
        <v>26919</v>
      </c>
      <c r="D29" s="44">
        <v>38447</v>
      </c>
      <c r="E29" s="44">
        <v>43029</v>
      </c>
      <c r="F29" s="44">
        <v>45008</v>
      </c>
      <c r="G29" s="44">
        <v>48466</v>
      </c>
      <c r="H29" s="44">
        <v>45490</v>
      </c>
      <c r="I29" s="44">
        <v>46443</v>
      </c>
      <c r="J29" s="45">
        <f>J26+J27</f>
        <v>47839.752074038348</v>
      </c>
      <c r="K29" s="45">
        <f>K26+K27</f>
        <v>49695.391585493795</v>
      </c>
      <c r="L29" s="45">
        <f>L26+L27</f>
        <v>52056.404195231531</v>
      </c>
      <c r="M29" s="19" t="s">
        <v>219</v>
      </c>
    </row>
    <row r="32" spans="2:13" x14ac:dyDescent="0.25">
      <c r="B32" s="156" t="s">
        <v>220</v>
      </c>
      <c r="C32" s="154"/>
      <c r="D32" s="154"/>
      <c r="E32" s="154"/>
      <c r="F32" s="154"/>
      <c r="G32" s="154"/>
      <c r="H32" s="154"/>
      <c r="I32" s="154"/>
      <c r="J32" s="154"/>
      <c r="K32" s="154"/>
      <c r="L32" s="154"/>
      <c r="M32" s="26"/>
    </row>
    <row r="33" spans="2:13" x14ac:dyDescent="0.25">
      <c r="B33" s="31" t="s">
        <v>221</v>
      </c>
      <c r="C33" s="49">
        <v>4965</v>
      </c>
      <c r="D33" s="49">
        <v>8939</v>
      </c>
      <c r="E33" s="49">
        <v>8049</v>
      </c>
      <c r="F33" s="49">
        <v>10417</v>
      </c>
      <c r="G33" s="49">
        <v>9676</v>
      </c>
      <c r="H33" s="49">
        <v>9879</v>
      </c>
      <c r="I33" s="49">
        <v>9987</v>
      </c>
      <c r="J33" s="50">
        <f>Assumptions!J31</f>
        <v>9900</v>
      </c>
      <c r="K33" s="50">
        <f>Assumptions!K31</f>
        <v>9800</v>
      </c>
      <c r="L33" s="50">
        <f>Assumptions!L31</f>
        <v>9700</v>
      </c>
      <c r="M33" s="19" t="s">
        <v>222</v>
      </c>
    </row>
    <row r="34" spans="2:13" x14ac:dyDescent="0.25">
      <c r="B34" s="31" t="s">
        <v>223</v>
      </c>
      <c r="C34" s="49">
        <v>2520</v>
      </c>
      <c r="D34" s="49">
        <v>2930</v>
      </c>
      <c r="E34" s="49">
        <v>2998</v>
      </c>
      <c r="F34" s="49">
        <v>2925</v>
      </c>
      <c r="G34" s="49">
        <v>2973</v>
      </c>
      <c r="H34" s="49">
        <v>2939</v>
      </c>
      <c r="I34" s="49">
        <v>3487</v>
      </c>
      <c r="J34" s="50">
        <f>I34</f>
        <v>3487</v>
      </c>
      <c r="K34" s="50">
        <f>J34</f>
        <v>3487</v>
      </c>
      <c r="L34" s="50">
        <f>K34</f>
        <v>3487</v>
      </c>
      <c r="M34" s="19" t="s">
        <v>224</v>
      </c>
    </row>
    <row r="36" spans="2:13" x14ac:dyDescent="0.25">
      <c r="B36" s="43" t="s">
        <v>225</v>
      </c>
      <c r="C36" s="44">
        <v>34404</v>
      </c>
      <c r="D36" s="44">
        <v>50316</v>
      </c>
      <c r="E36" s="44">
        <v>54076</v>
      </c>
      <c r="F36" s="44">
        <v>58350</v>
      </c>
      <c r="G36" s="44">
        <v>61115</v>
      </c>
      <c r="H36" s="44">
        <v>58308</v>
      </c>
      <c r="I36" s="44">
        <v>59917</v>
      </c>
      <c r="J36" s="45">
        <f>J29+J33+J34</f>
        <v>61226.752074038348</v>
      </c>
      <c r="K36" s="45">
        <f>K29+K33+K34</f>
        <v>62982.391585493795</v>
      </c>
      <c r="L36" s="45">
        <f>L29+L33+L34</f>
        <v>65243.404195231531</v>
      </c>
      <c r="M36" s="19" t="s">
        <v>226</v>
      </c>
    </row>
    <row r="40" spans="2:13" x14ac:dyDescent="0.25">
      <c r="B40" s="156" t="s">
        <v>227</v>
      </c>
      <c r="C40" s="154"/>
      <c r="D40" s="154"/>
      <c r="E40" s="154"/>
      <c r="F40" s="154"/>
      <c r="G40" s="154"/>
      <c r="H40" s="154"/>
      <c r="I40" s="154"/>
      <c r="J40" s="154"/>
      <c r="K40" s="154"/>
      <c r="L40" s="154"/>
      <c r="M40" s="26"/>
    </row>
    <row r="41" spans="2:13" x14ac:dyDescent="0.25">
      <c r="B41" s="31" t="s">
        <v>228</v>
      </c>
      <c r="C41" s="49">
        <v>15588</v>
      </c>
      <c r="D41" s="49">
        <v>16644</v>
      </c>
      <c r="E41" s="49">
        <v>0</v>
      </c>
      <c r="F41" s="49">
        <v>18327</v>
      </c>
      <c r="G41" s="49">
        <v>19642</v>
      </c>
      <c r="H41" s="49">
        <v>20705</v>
      </c>
      <c r="I41" s="49">
        <v>21582</v>
      </c>
      <c r="J41" s="50">
        <f>I41+Assumptions!J7*Assumptions!J15</f>
        <v>22948.799999999999</v>
      </c>
      <c r="K41" s="50">
        <f>J41+Assumptions!K7*Assumptions!K15</f>
        <v>24334.86</v>
      </c>
      <c r="L41" s="50">
        <f>K41+Assumptions!L7*Assumptions!L15</f>
        <v>25753.02</v>
      </c>
      <c r="M41" s="19" t="s">
        <v>229</v>
      </c>
    </row>
    <row r="42" spans="2:13" x14ac:dyDescent="0.25">
      <c r="B42" s="31" t="s">
        <v>230</v>
      </c>
      <c r="C42" s="49">
        <v>8342</v>
      </c>
      <c r="D42" s="49">
        <v>12366</v>
      </c>
      <c r="E42" s="49">
        <v>16535</v>
      </c>
      <c r="F42" s="49">
        <v>18954</v>
      </c>
      <c r="G42" s="49">
        <v>23200</v>
      </c>
      <c r="H42" s="49">
        <v>27347</v>
      </c>
      <c r="I42" s="49">
        <v>32470</v>
      </c>
      <c r="J42" s="50">
        <f>I42+'Income Statement'!J39</f>
        <v>36683.08</v>
      </c>
      <c r="K42" s="50">
        <f>J42+'Income Statement'!K39</f>
        <v>41261.495999999999</v>
      </c>
      <c r="L42" s="50">
        <f>K42+'Income Statement'!L39</f>
        <v>46265.015999999996</v>
      </c>
      <c r="M42" s="19" t="s">
        <v>231</v>
      </c>
    </row>
    <row r="43" spans="2:13" x14ac:dyDescent="0.25">
      <c r="B43" s="31" t="s">
        <v>232</v>
      </c>
      <c r="C43" s="49">
        <v>-6872</v>
      </c>
      <c r="D43" s="49">
        <v>-8507</v>
      </c>
      <c r="E43" s="49">
        <v>0</v>
      </c>
      <c r="F43" s="49">
        <v>-16079</v>
      </c>
      <c r="G43" s="49">
        <v>-21045</v>
      </c>
      <c r="H43" s="49">
        <v>-27085</v>
      </c>
      <c r="I43" s="49">
        <v>-33138</v>
      </c>
      <c r="J43" s="50">
        <f>I43-Assumptions!J34</f>
        <v>-39138</v>
      </c>
      <c r="K43" s="50">
        <f>J43-Assumptions!K34</f>
        <v>-45138</v>
      </c>
      <c r="L43" s="50">
        <f>K43-Assumptions!L34</f>
        <v>-51138</v>
      </c>
      <c r="M43" s="19" t="s">
        <v>233</v>
      </c>
    </row>
    <row r="44" spans="2:13" x14ac:dyDescent="0.25">
      <c r="B44" s="31" t="s">
        <v>234</v>
      </c>
      <c r="C44" s="49">
        <v>-173</v>
      </c>
      <c r="D44" s="49">
        <v>-484</v>
      </c>
      <c r="E44" s="49">
        <v>-808</v>
      </c>
      <c r="F44" s="49">
        <v>-928</v>
      </c>
      <c r="G44" s="49">
        <v>-746</v>
      </c>
      <c r="H44" s="49">
        <v>-550</v>
      </c>
      <c r="I44" s="49">
        <v>-658</v>
      </c>
      <c r="J44" s="50">
        <f>I44</f>
        <v>-658</v>
      </c>
      <c r="K44" s="50">
        <f>J44</f>
        <v>-658</v>
      </c>
      <c r="L44" s="50">
        <f>K44</f>
        <v>-658</v>
      </c>
      <c r="M44" s="19" t="s">
        <v>235</v>
      </c>
    </row>
    <row r="46" spans="2:13" x14ac:dyDescent="0.25">
      <c r="B46" s="43" t="s">
        <v>236</v>
      </c>
      <c r="C46" s="44">
        <v>16885</v>
      </c>
      <c r="D46" s="44">
        <v>20019</v>
      </c>
      <c r="E46" s="44">
        <v>21727</v>
      </c>
      <c r="F46" s="44">
        <v>20274</v>
      </c>
      <c r="G46" s="44">
        <v>21051</v>
      </c>
      <c r="H46" s="44">
        <v>20417</v>
      </c>
      <c r="I46" s="44">
        <v>20256</v>
      </c>
      <c r="J46" s="45">
        <f>J41+J42+J43+J44</f>
        <v>19835.880000000005</v>
      </c>
      <c r="K46" s="45">
        <f>K41+K42+K43+K44</f>
        <v>19800.356</v>
      </c>
      <c r="L46" s="45">
        <f>L41+L42+L43+L44</f>
        <v>20222.035999999993</v>
      </c>
      <c r="M46" s="19" t="s">
        <v>237</v>
      </c>
    </row>
    <row r="48" spans="2:13" x14ac:dyDescent="0.25">
      <c r="B48" s="43" t="s">
        <v>238</v>
      </c>
      <c r="C48" s="51">
        <v>51333</v>
      </c>
      <c r="D48" s="51">
        <v>70379</v>
      </c>
      <c r="E48" s="51">
        <v>75803</v>
      </c>
      <c r="F48" s="51">
        <v>78624</v>
      </c>
      <c r="G48" s="51">
        <v>82166</v>
      </c>
      <c r="H48" s="51">
        <v>78725</v>
      </c>
      <c r="I48" s="51">
        <v>80173</v>
      </c>
      <c r="J48" s="52">
        <f>J36+J46</f>
        <v>81062.632074038353</v>
      </c>
      <c r="K48" s="52">
        <f>K36+K46</f>
        <v>82782.747585493795</v>
      </c>
      <c r="L48" s="52">
        <f>L36+L46</f>
        <v>85465.440195231524</v>
      </c>
      <c r="M48" s="19" t="s">
        <v>239</v>
      </c>
    </row>
    <row r="51" spans="2:13" x14ac:dyDescent="0.25">
      <c r="B51" s="156" t="s">
        <v>240</v>
      </c>
      <c r="C51" s="154"/>
      <c r="D51" s="154"/>
      <c r="E51" s="154"/>
      <c r="F51" s="154"/>
      <c r="G51" s="154"/>
      <c r="H51" s="154"/>
      <c r="I51" s="154"/>
      <c r="J51" s="154"/>
      <c r="K51" s="154"/>
      <c r="L51" s="154"/>
      <c r="M51" s="26"/>
    </row>
    <row r="52" spans="2:13" x14ac:dyDescent="0.25">
      <c r="B52" s="58" t="s">
        <v>241</v>
      </c>
      <c r="C52" s="59">
        <v>0</v>
      </c>
      <c r="D52" s="59">
        <v>0</v>
      </c>
      <c r="E52" s="59">
        <v>0</v>
      </c>
      <c r="F52" s="59">
        <v>0</v>
      </c>
      <c r="G52" s="59">
        <v>0</v>
      </c>
      <c r="H52" s="59">
        <v>0</v>
      </c>
      <c r="I52" s="59">
        <v>0</v>
      </c>
      <c r="J52" s="59">
        <f>J21-J48</f>
        <v>0</v>
      </c>
      <c r="K52" s="59">
        <f>K21-K48</f>
        <v>0</v>
      </c>
      <c r="L52" s="59">
        <f>L21-L48</f>
        <v>0</v>
      </c>
      <c r="M52" s="60" t="s">
        <v>242</v>
      </c>
    </row>
    <row r="54" spans="2:13" x14ac:dyDescent="0.25">
      <c r="B54" s="17" t="s">
        <v>243</v>
      </c>
    </row>
    <row r="55" spans="2:13" x14ac:dyDescent="0.25">
      <c r="B55" s="61" t="s">
        <v>244</v>
      </c>
    </row>
    <row r="58" spans="2:13" x14ac:dyDescent="0.25">
      <c r="B58" s="19" t="s">
        <v>245</v>
      </c>
    </row>
    <row r="59" spans="2:13" x14ac:dyDescent="0.25">
      <c r="B59" s="57" t="s">
        <v>246</v>
      </c>
    </row>
    <row r="60" spans="2:13" x14ac:dyDescent="0.25">
      <c r="B60" s="57" t="s">
        <v>247</v>
      </c>
    </row>
    <row r="61" spans="2:13" x14ac:dyDescent="0.25">
      <c r="B61" s="57" t="s">
        <v>248</v>
      </c>
    </row>
    <row r="62" spans="2:13" x14ac:dyDescent="0.25">
      <c r="B62" s="57" t="s">
        <v>249</v>
      </c>
    </row>
    <row r="63" spans="2:13" x14ac:dyDescent="0.25">
      <c r="B63" s="57" t="s">
        <v>250</v>
      </c>
    </row>
    <row r="64" spans="2:13" x14ac:dyDescent="0.25">
      <c r="B64" s="57" t="s">
        <v>251</v>
      </c>
    </row>
    <row r="65" spans="2:2" x14ac:dyDescent="0.25">
      <c r="B65" s="57" t="s">
        <v>252</v>
      </c>
    </row>
    <row r="66" spans="2:2" x14ac:dyDescent="0.25">
      <c r="B66" s="57" t="s">
        <v>253</v>
      </c>
    </row>
    <row r="67" spans="2:2" x14ac:dyDescent="0.25">
      <c r="B67" s="57" t="s">
        <v>254</v>
      </c>
    </row>
    <row r="68" spans="2:2" x14ac:dyDescent="0.25">
      <c r="B68" s="57" t="s">
        <v>255</v>
      </c>
    </row>
    <row r="69" spans="2:2" x14ac:dyDescent="0.25">
      <c r="B69" s="57" t="s">
        <v>256</v>
      </c>
    </row>
    <row r="70" spans="2:2" x14ac:dyDescent="0.25">
      <c r="B70" s="57" t="s">
        <v>257</v>
      </c>
    </row>
    <row r="71" spans="2:2" x14ac:dyDescent="0.25">
      <c r="B71" s="57" t="s">
        <v>258</v>
      </c>
    </row>
    <row r="72" spans="2:2" x14ac:dyDescent="0.25">
      <c r="B72" s="57" t="s">
        <v>259</v>
      </c>
    </row>
    <row r="73" spans="2:2" x14ac:dyDescent="0.25">
      <c r="B73" s="57" t="s">
        <v>260</v>
      </c>
    </row>
    <row r="74" spans="2:2" x14ac:dyDescent="0.25">
      <c r="B74" s="57" t="s">
        <v>261</v>
      </c>
    </row>
    <row r="75" spans="2:2" x14ac:dyDescent="0.25">
      <c r="B75" s="57" t="s">
        <v>262</v>
      </c>
    </row>
    <row r="76" spans="2:2" x14ac:dyDescent="0.25">
      <c r="B76" s="57" t="s">
        <v>263</v>
      </c>
    </row>
    <row r="77" spans="2:2" x14ac:dyDescent="0.25">
      <c r="B77" s="57" t="s">
        <v>264</v>
      </c>
    </row>
  </sheetData>
  <mergeCells count="7">
    <mergeCell ref="B1:L1"/>
    <mergeCell ref="B6:L6"/>
    <mergeCell ref="B15:L15"/>
    <mergeCell ref="B25:L25"/>
    <mergeCell ref="B51:L51"/>
    <mergeCell ref="B32:L32"/>
    <mergeCell ref="B40:L4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107"/>
  </sheetPr>
  <dimension ref="B1:M66"/>
  <sheetViews>
    <sheetView workbookViewId="0">
      <pane xSplit="2" ySplit="4" topLeftCell="C17" activePane="bottomRight" state="frozen"/>
      <selection pane="topRight"/>
      <selection pane="bottomLeft"/>
      <selection pane="bottomRight" activeCell="J20" sqref="J20:L20"/>
    </sheetView>
  </sheetViews>
  <sheetFormatPr baseColWidth="10" defaultColWidth="9.140625" defaultRowHeight="15" x14ac:dyDescent="0.25"/>
  <cols>
    <col min="1" max="1" width="2" customWidth="1"/>
    <col min="2" max="2" width="34" customWidth="1"/>
    <col min="3" max="12" width="14" customWidth="1"/>
    <col min="13" max="13" width="38" customWidth="1"/>
  </cols>
  <sheetData>
    <row r="1" spans="2:13" ht="18" x14ac:dyDescent="0.25">
      <c r="B1" s="155" t="s">
        <v>265</v>
      </c>
      <c r="C1" s="146"/>
      <c r="D1" s="146"/>
      <c r="E1" s="146"/>
      <c r="F1" s="146"/>
      <c r="G1" s="146"/>
      <c r="H1" s="146"/>
      <c r="I1" s="146"/>
      <c r="J1" s="146"/>
      <c r="K1" s="146"/>
      <c r="L1" s="146"/>
    </row>
    <row r="2" spans="2:13" x14ac:dyDescent="0.25">
      <c r="B2" s="19" t="s">
        <v>266</v>
      </c>
      <c r="M2" s="20" t="s">
        <v>141</v>
      </c>
    </row>
    <row r="3" spans="2:13" x14ac:dyDescent="0.25">
      <c r="B3" s="2"/>
      <c r="C3" s="21" t="s">
        <v>59</v>
      </c>
      <c r="D3" s="21" t="s">
        <v>60</v>
      </c>
      <c r="E3" s="21" t="s">
        <v>61</v>
      </c>
      <c r="F3" s="21" t="s">
        <v>62</v>
      </c>
      <c r="G3" s="21" t="s">
        <v>63</v>
      </c>
      <c r="H3" s="21" t="s">
        <v>64</v>
      </c>
      <c r="I3" s="21" t="s">
        <v>65</v>
      </c>
      <c r="J3" s="22" t="s">
        <v>66</v>
      </c>
      <c r="K3" s="22" t="s">
        <v>67</v>
      </c>
      <c r="L3" s="22" t="s">
        <v>68</v>
      </c>
      <c r="M3" s="2"/>
    </row>
    <row r="4" spans="2:13" x14ac:dyDescent="0.25">
      <c r="C4" s="24" t="s">
        <v>69</v>
      </c>
      <c r="D4" s="24" t="s">
        <v>69</v>
      </c>
      <c r="E4" s="24" t="s">
        <v>69</v>
      </c>
      <c r="F4" s="24" t="s">
        <v>69</v>
      </c>
      <c r="G4" s="24" t="s">
        <v>69</v>
      </c>
      <c r="H4" s="24" t="s">
        <v>69</v>
      </c>
      <c r="I4" s="24" t="s">
        <v>69</v>
      </c>
      <c r="J4" s="25" t="s">
        <v>70</v>
      </c>
      <c r="K4" s="25" t="s">
        <v>70</v>
      </c>
      <c r="L4" s="25" t="s">
        <v>70</v>
      </c>
    </row>
    <row r="6" spans="2:13" x14ac:dyDescent="0.25">
      <c r="B6" s="156" t="s">
        <v>267</v>
      </c>
      <c r="C6" s="154"/>
      <c r="D6" s="154"/>
      <c r="E6" s="154"/>
      <c r="F6" s="154"/>
      <c r="G6" s="154"/>
      <c r="H6" s="154"/>
      <c r="I6" s="154"/>
      <c r="J6" s="154"/>
      <c r="K6" s="154"/>
      <c r="L6" s="154"/>
      <c r="M6" s="26"/>
    </row>
    <row r="7" spans="2:13" x14ac:dyDescent="0.25">
      <c r="B7" s="31" t="s">
        <v>171</v>
      </c>
      <c r="C7" s="49">
        <v>2459</v>
      </c>
      <c r="D7" s="49">
        <v>4202</v>
      </c>
      <c r="E7" s="49">
        <v>4169</v>
      </c>
      <c r="F7" s="49">
        <v>2419</v>
      </c>
      <c r="G7" s="49">
        <v>4246</v>
      </c>
      <c r="H7" s="49">
        <v>4573</v>
      </c>
      <c r="I7" s="49">
        <v>4310</v>
      </c>
      <c r="J7" s="50">
        <f>'Income Statement'!J39</f>
        <v>4213.0800000000017</v>
      </c>
      <c r="K7" s="50">
        <f>'Income Statement'!K39</f>
        <v>4578.4159999999993</v>
      </c>
      <c r="L7" s="50">
        <f>'Income Statement'!L39</f>
        <v>5003.5199999999995</v>
      </c>
      <c r="M7" s="19" t="s">
        <v>268</v>
      </c>
    </row>
    <row r="9" spans="2:13" x14ac:dyDescent="0.25">
      <c r="B9" s="46" t="s">
        <v>269</v>
      </c>
    </row>
    <row r="10" spans="2:13" x14ac:dyDescent="0.25">
      <c r="B10" s="31" t="s">
        <v>270</v>
      </c>
      <c r="C10" s="49">
        <v>810</v>
      </c>
      <c r="D10" s="49">
        <v>1011</v>
      </c>
      <c r="E10" s="49">
        <v>1200</v>
      </c>
      <c r="F10" s="49">
        <v>1274</v>
      </c>
      <c r="G10" s="49">
        <v>1290</v>
      </c>
      <c r="H10" s="49">
        <v>1259</v>
      </c>
      <c r="I10" s="49">
        <v>1280</v>
      </c>
      <c r="J10" s="50">
        <f>Assumptions!J24</f>
        <v>1300</v>
      </c>
      <c r="K10" s="50">
        <f>Assumptions!K24</f>
        <v>1320</v>
      </c>
      <c r="L10" s="50">
        <f>Assumptions!L24</f>
        <v>1340</v>
      </c>
      <c r="M10" s="19" t="s">
        <v>271</v>
      </c>
    </row>
    <row r="11" spans="2:13" x14ac:dyDescent="0.25">
      <c r="B11" s="31" t="s">
        <v>272</v>
      </c>
      <c r="C11" s="49">
        <v>1021</v>
      </c>
      <c r="D11" s="49">
        <v>1378</v>
      </c>
      <c r="E11" s="49">
        <v>1510</v>
      </c>
      <c r="F11" s="49">
        <v>1456</v>
      </c>
      <c r="G11" s="49">
        <v>1390</v>
      </c>
      <c r="H11" s="49">
        <v>1399</v>
      </c>
      <c r="I11" s="49">
        <v>1350</v>
      </c>
      <c r="J11" s="50">
        <f>Assumptions!J7*Assumptions!J15</f>
        <v>1366.8</v>
      </c>
      <c r="K11" s="50">
        <f>Assumptions!K7*Assumptions!K15</f>
        <v>1386.06</v>
      </c>
      <c r="L11" s="50">
        <f>Assumptions!L7*Assumptions!L15</f>
        <v>1418.1599999999999</v>
      </c>
      <c r="M11" s="19" t="s">
        <v>273</v>
      </c>
    </row>
    <row r="13" spans="2:13" x14ac:dyDescent="0.25">
      <c r="B13" s="46" t="s">
        <v>274</v>
      </c>
    </row>
    <row r="14" spans="2:13" x14ac:dyDescent="0.25">
      <c r="B14" s="31" t="s">
        <v>275</v>
      </c>
      <c r="D14" s="39">
        <v>-142</v>
      </c>
      <c r="E14" s="39">
        <v>-12146</v>
      </c>
      <c r="F14" s="39">
        <v>10522</v>
      </c>
      <c r="G14" s="39">
        <v>319</v>
      </c>
      <c r="H14" s="39">
        <v>301</v>
      </c>
      <c r="I14" s="39">
        <v>-328</v>
      </c>
      <c r="J14" s="50">
        <f>-('Balance Sheet'!J9-'Balance Sheet'!I9)</f>
        <v>-57.433437839141561</v>
      </c>
      <c r="K14" s="50">
        <f>-('Balance Sheet'!K9-'Balance Sheet'!J9)</f>
        <v>-78.841492825274372</v>
      </c>
      <c r="L14" s="50">
        <f>-('Balance Sheet'!L9-'Balance Sheet'!K9)</f>
        <v>-102.43639213794768</v>
      </c>
      <c r="M14" s="19" t="s">
        <v>276</v>
      </c>
    </row>
    <row r="15" spans="2:13" x14ac:dyDescent="0.25">
      <c r="B15" s="31" t="s">
        <v>277</v>
      </c>
      <c r="D15" s="39">
        <v>-10036</v>
      </c>
      <c r="E15" s="39">
        <v>37335</v>
      </c>
      <c r="F15" s="39">
        <v>-44372</v>
      </c>
      <c r="G15" s="39">
        <v>-2258</v>
      </c>
      <c r="H15" s="39">
        <v>928</v>
      </c>
      <c r="I15" s="39">
        <v>-1726</v>
      </c>
      <c r="J15" s="50">
        <f>-('Balance Sheet'!J10-'Balance Sheet'!I10)</f>
        <v>-1422.8400000000038</v>
      </c>
      <c r="K15" s="50">
        <f>-('Balance Sheet'!K10-'Balance Sheet'!J10)</f>
        <v>-1465.5252000000037</v>
      </c>
      <c r="L15" s="50">
        <f>-('Balance Sheet'!L10-'Balance Sheet'!K10)</f>
        <v>-1509.4909560000015</v>
      </c>
      <c r="M15" s="19" t="s">
        <v>278</v>
      </c>
    </row>
    <row r="16" spans="2:13" x14ac:dyDescent="0.25">
      <c r="B16" s="31" t="s">
        <v>279</v>
      </c>
      <c r="D16" s="39">
        <v>20</v>
      </c>
      <c r="E16" s="39">
        <v>-55</v>
      </c>
      <c r="F16" s="39">
        <v>39943</v>
      </c>
      <c r="G16" s="39">
        <v>1934</v>
      </c>
      <c r="H16" s="39">
        <v>-2176</v>
      </c>
      <c r="I16" s="39">
        <v>540</v>
      </c>
      <c r="J16" s="50">
        <f>'Balance Sheet'!J26-'Balance Sheet'!I26</f>
        <v>1216.6020740383465</v>
      </c>
      <c r="K16" s="50">
        <f>'Balance Sheet'!K26-'Balance Sheet'!J26</f>
        <v>1670.0850114554487</v>
      </c>
      <c r="L16" s="50">
        <f>'Balance Sheet'!L26-'Balance Sheet'!K26</f>
        <v>2169.8914747377348</v>
      </c>
      <c r="M16" s="19" t="s">
        <v>280</v>
      </c>
    </row>
    <row r="17" spans="2:13" x14ac:dyDescent="0.25">
      <c r="B17" s="31" t="s">
        <v>281</v>
      </c>
      <c r="D17" s="39">
        <v>11508</v>
      </c>
      <c r="E17" s="39">
        <v>4637</v>
      </c>
      <c r="F17" s="39">
        <v>-37964</v>
      </c>
      <c r="G17" s="39">
        <v>1524</v>
      </c>
      <c r="H17" s="39">
        <v>-800</v>
      </c>
      <c r="I17" s="39">
        <v>413</v>
      </c>
      <c r="J17" s="50">
        <f>'Balance Sheet'!J27-'Balance Sheet'!I27</f>
        <v>180.15000000000055</v>
      </c>
      <c r="K17" s="50">
        <f>'Balance Sheet'!K27-'Balance Sheet'!J27</f>
        <v>185.55450000000019</v>
      </c>
      <c r="L17" s="50">
        <f>'Balance Sheet'!L27-'Balance Sheet'!K27</f>
        <v>191.12113500000032</v>
      </c>
      <c r="M17" s="19" t="s">
        <v>282</v>
      </c>
    </row>
    <row r="18" spans="2:13" x14ac:dyDescent="0.25">
      <c r="B18" s="31" t="s">
        <v>283</v>
      </c>
      <c r="C18" s="49">
        <v>272</v>
      </c>
      <c r="D18" s="49">
        <v>-738</v>
      </c>
      <c r="E18" s="49">
        <v>-536</v>
      </c>
      <c r="F18" s="49">
        <v>664</v>
      </c>
      <c r="G18" s="49">
        <v>-2083</v>
      </c>
      <c r="H18" s="49">
        <v>-831</v>
      </c>
      <c r="I18" s="49">
        <v>180</v>
      </c>
      <c r="J18" s="50">
        <f>0</f>
        <v>0</v>
      </c>
      <c r="K18" s="50">
        <f>0</f>
        <v>0</v>
      </c>
      <c r="L18" s="50">
        <f>0</f>
        <v>0</v>
      </c>
      <c r="M18" s="19" t="s">
        <v>284</v>
      </c>
    </row>
    <row r="20" spans="2:13" x14ac:dyDescent="0.25">
      <c r="B20" s="43" t="s">
        <v>285</v>
      </c>
      <c r="C20" s="44">
        <v>4562</v>
      </c>
      <c r="D20" s="44">
        <v>5853</v>
      </c>
      <c r="E20" s="44">
        <v>6343</v>
      </c>
      <c r="F20" s="44">
        <v>5813</v>
      </c>
      <c r="G20" s="44">
        <v>4843</v>
      </c>
      <c r="H20" s="44">
        <v>6400</v>
      </c>
      <c r="I20" s="44">
        <v>7120</v>
      </c>
      <c r="J20" s="45">
        <f>J7+J10+J11+J14+J15+J16+J17+J18</f>
        <v>6796.3586361992038</v>
      </c>
      <c r="K20" s="45">
        <f>K7+K10+K11+K14+K15+K16+K17+K18</f>
        <v>7595.7488186301698</v>
      </c>
      <c r="L20" s="45">
        <f>L7+L10+L11+L14+L15+L16+L17+L18</f>
        <v>8510.7652615997868</v>
      </c>
      <c r="M20" s="19" t="s">
        <v>286</v>
      </c>
    </row>
    <row r="21" spans="2:13" x14ac:dyDescent="0.25">
      <c r="B21" s="46" t="s">
        <v>287</v>
      </c>
      <c r="C21" s="47">
        <v>0.25669592617600723</v>
      </c>
      <c r="D21" s="47">
        <v>0.27281625804045873</v>
      </c>
      <c r="E21" s="47">
        <v>0.25000985377005241</v>
      </c>
      <c r="F21" s="47">
        <v>0.2112435496765753</v>
      </c>
      <c r="G21" s="47">
        <v>0.1626750864935676</v>
      </c>
      <c r="H21" s="47">
        <v>0.2012768500172972</v>
      </c>
      <c r="I21" s="47">
        <v>0.21463885204389241</v>
      </c>
      <c r="J21" s="48">
        <f>J20/'Income Statement'!J7</f>
        <v>0.19889840901958455</v>
      </c>
      <c r="K21" s="48">
        <f>K20/'Income Statement'!K7</f>
        <v>0.21372393974761311</v>
      </c>
      <c r="L21" s="48">
        <f>L20/'Income Statement'!L7</f>
        <v>0.22804837249731474</v>
      </c>
    </row>
    <row r="24" spans="2:13" x14ac:dyDescent="0.25">
      <c r="B24" s="156" t="s">
        <v>288</v>
      </c>
      <c r="C24" s="154"/>
      <c r="D24" s="154"/>
      <c r="E24" s="154"/>
      <c r="F24" s="154"/>
      <c r="G24" s="154"/>
      <c r="H24" s="154"/>
      <c r="I24" s="154"/>
      <c r="J24" s="154"/>
      <c r="K24" s="154"/>
      <c r="L24" s="154"/>
      <c r="M24" s="26"/>
    </row>
    <row r="25" spans="2:13" x14ac:dyDescent="0.25">
      <c r="B25" s="31" t="s">
        <v>289</v>
      </c>
      <c r="C25" s="49">
        <v>-704</v>
      </c>
      <c r="D25" s="49">
        <v>-866</v>
      </c>
      <c r="E25" s="49">
        <v>-908</v>
      </c>
      <c r="F25" s="49">
        <v>-706</v>
      </c>
      <c r="G25" s="49">
        <v>-596</v>
      </c>
      <c r="H25" s="49">
        <v>-516</v>
      </c>
      <c r="I25" s="49">
        <v>-505</v>
      </c>
      <c r="J25" s="50">
        <f>-Assumptions!J22</f>
        <v>-900</v>
      </c>
      <c r="K25" s="50">
        <f>-Assumptions!K22</f>
        <v>-850</v>
      </c>
      <c r="L25" s="50">
        <f>-Assumptions!L22</f>
        <v>-800</v>
      </c>
      <c r="M25" s="19" t="s">
        <v>290</v>
      </c>
    </row>
    <row r="26" spans="2:13" x14ac:dyDescent="0.25">
      <c r="B26" s="31" t="s">
        <v>291</v>
      </c>
      <c r="C26" s="49">
        <v>-1871</v>
      </c>
      <c r="D26" s="49">
        <v>-7030</v>
      </c>
      <c r="E26" s="49">
        <v>-3087</v>
      </c>
      <c r="F26" s="49">
        <v>-1050</v>
      </c>
      <c r="G26" s="49">
        <v>-1200</v>
      </c>
      <c r="H26" s="49">
        <v>800</v>
      </c>
      <c r="I26" s="49">
        <v>-500</v>
      </c>
      <c r="J26" s="50">
        <f>0</f>
        <v>0</v>
      </c>
      <c r="K26" s="50">
        <f>0</f>
        <v>0</v>
      </c>
      <c r="L26" s="50">
        <f>0</f>
        <v>0</v>
      </c>
      <c r="M26" s="19" t="s">
        <v>292</v>
      </c>
    </row>
    <row r="28" spans="2:13" x14ac:dyDescent="0.25">
      <c r="B28" s="43" t="s">
        <v>293</v>
      </c>
      <c r="C28" s="44">
        <v>-2575</v>
      </c>
      <c r="D28" s="44">
        <v>-7896</v>
      </c>
      <c r="E28" s="44">
        <v>-3995</v>
      </c>
      <c r="F28" s="44">
        <v>-1756</v>
      </c>
      <c r="G28" s="44">
        <v>-1796</v>
      </c>
      <c r="H28" s="44">
        <v>284</v>
      </c>
      <c r="I28" s="44">
        <v>-1005</v>
      </c>
      <c r="J28" s="45">
        <f>J25+J26</f>
        <v>-900</v>
      </c>
      <c r="K28" s="45">
        <f>K25+K26</f>
        <v>-850</v>
      </c>
      <c r="L28" s="45">
        <f>L25+L26</f>
        <v>-800</v>
      </c>
      <c r="M28" s="19" t="s">
        <v>294</v>
      </c>
    </row>
    <row r="31" spans="2:13" x14ac:dyDescent="0.25">
      <c r="B31" s="156" t="s">
        <v>295</v>
      </c>
      <c r="C31" s="154"/>
      <c r="D31" s="154"/>
      <c r="E31" s="154"/>
      <c r="F31" s="154"/>
      <c r="G31" s="154"/>
      <c r="H31" s="154"/>
      <c r="I31" s="154"/>
      <c r="J31" s="154"/>
      <c r="K31" s="154"/>
      <c r="L31" s="154"/>
      <c r="M31" s="26"/>
    </row>
    <row r="32" spans="2:13" x14ac:dyDescent="0.25">
      <c r="B32" s="31" t="s">
        <v>296</v>
      </c>
      <c r="C32" s="49">
        <v>1996</v>
      </c>
      <c r="D32" s="49">
        <v>3994</v>
      </c>
      <c r="E32" s="49">
        <v>-990</v>
      </c>
      <c r="F32" s="49">
        <v>2398</v>
      </c>
      <c r="G32" s="49">
        <v>-741</v>
      </c>
      <c r="H32" s="49">
        <v>203</v>
      </c>
      <c r="I32" s="49">
        <v>108</v>
      </c>
      <c r="J32" s="50">
        <f>'Balance Sheet'!J33-'Balance Sheet'!I33</f>
        <v>-87</v>
      </c>
      <c r="K32" s="50">
        <f>'Balance Sheet'!K33-'Balance Sheet'!J33</f>
        <v>-100</v>
      </c>
      <c r="L32" s="50">
        <f>'Balance Sheet'!L33-'Balance Sheet'!K33</f>
        <v>-100</v>
      </c>
      <c r="M32" s="19" t="s">
        <v>297</v>
      </c>
    </row>
    <row r="33" spans="2:13" x14ac:dyDescent="0.25">
      <c r="B33" s="31" t="s">
        <v>298</v>
      </c>
      <c r="C33" s="49">
        <v>-3333</v>
      </c>
      <c r="D33" s="49">
        <v>-1021</v>
      </c>
      <c r="E33" s="49">
        <v>-3397</v>
      </c>
      <c r="F33" s="49">
        <v>-4200</v>
      </c>
      <c r="G33" s="49">
        <v>-5100</v>
      </c>
      <c r="H33" s="49">
        <v>-5400</v>
      </c>
      <c r="I33" s="49">
        <v>-6000</v>
      </c>
      <c r="J33" s="50">
        <f>-Assumptions!J34</f>
        <v>-6000</v>
      </c>
      <c r="K33" s="50">
        <f>-Assumptions!K34</f>
        <v>-6000</v>
      </c>
      <c r="L33" s="50">
        <f>-Assumptions!L34</f>
        <v>-6000</v>
      </c>
      <c r="M33" s="19" t="s">
        <v>299</v>
      </c>
    </row>
    <row r="34" spans="2:13" x14ac:dyDescent="0.25">
      <c r="B34" s="31" t="s">
        <v>300</v>
      </c>
      <c r="C34" s="49">
        <v>-308</v>
      </c>
      <c r="D34" s="49">
        <v>-350</v>
      </c>
      <c r="E34" s="49">
        <v>-240</v>
      </c>
      <c r="F34" s="49">
        <v>-100</v>
      </c>
      <c r="G34" s="49">
        <v>-230</v>
      </c>
      <c r="H34" s="49">
        <v>-150</v>
      </c>
      <c r="I34" s="49">
        <v>-200</v>
      </c>
      <c r="J34" s="50">
        <f>0</f>
        <v>0</v>
      </c>
      <c r="K34" s="50">
        <f>0</f>
        <v>0</v>
      </c>
      <c r="L34" s="50">
        <f>0</f>
        <v>0</v>
      </c>
      <c r="M34" s="19" t="s">
        <v>301</v>
      </c>
    </row>
    <row r="36" spans="2:13" x14ac:dyDescent="0.25">
      <c r="B36" s="43" t="s">
        <v>302</v>
      </c>
      <c r="C36" s="44">
        <v>-1645</v>
      </c>
      <c r="D36" s="44">
        <v>2623</v>
      </c>
      <c r="E36" s="44">
        <v>-4627</v>
      </c>
      <c r="F36" s="44">
        <v>-1902</v>
      </c>
      <c r="G36" s="44">
        <v>-6071</v>
      </c>
      <c r="H36" s="44">
        <v>-5347</v>
      </c>
      <c r="I36" s="44">
        <v>-6092</v>
      </c>
      <c r="J36" s="45">
        <f>J32+J33+J34</f>
        <v>-6087</v>
      </c>
      <c r="K36" s="45">
        <f>K32+K33+K34</f>
        <v>-6100</v>
      </c>
      <c r="L36" s="45">
        <f>L32+L33+L34</f>
        <v>-6100</v>
      </c>
      <c r="M36" s="19" t="s">
        <v>303</v>
      </c>
    </row>
    <row r="40" spans="2:13" x14ac:dyDescent="0.25">
      <c r="B40" s="156" t="s">
        <v>304</v>
      </c>
      <c r="C40" s="154"/>
      <c r="D40" s="154"/>
      <c r="E40" s="154"/>
      <c r="F40" s="154"/>
      <c r="G40" s="154"/>
      <c r="H40" s="154"/>
      <c r="I40" s="154"/>
      <c r="J40" s="154"/>
      <c r="K40" s="154"/>
      <c r="L40" s="154"/>
      <c r="M40" s="26"/>
    </row>
    <row r="41" spans="2:13" x14ac:dyDescent="0.25">
      <c r="B41" s="43" t="s">
        <v>305</v>
      </c>
      <c r="C41" s="44">
        <v>342</v>
      </c>
      <c r="D41" s="44">
        <v>580</v>
      </c>
      <c r="E41" s="44">
        <v>-2279</v>
      </c>
      <c r="F41" s="44">
        <v>4155</v>
      </c>
      <c r="G41" s="44">
        <v>-3024</v>
      </c>
      <c r="H41" s="44">
        <v>1337</v>
      </c>
      <c r="I41" s="44">
        <v>23</v>
      </c>
      <c r="J41" s="45">
        <f>J20+J28+J36</f>
        <v>-190.64136380079617</v>
      </c>
      <c r="K41" s="45">
        <f>K20+K28+K36</f>
        <v>645.74881863016981</v>
      </c>
      <c r="L41" s="45">
        <f>L20+L28+L36</f>
        <v>1610.7652615997868</v>
      </c>
      <c r="M41" s="19" t="s">
        <v>306</v>
      </c>
    </row>
    <row r="43" spans="2:13" x14ac:dyDescent="0.25">
      <c r="B43" s="31" t="s">
        <v>307</v>
      </c>
      <c r="C43" s="64">
        <v>7007</v>
      </c>
      <c r="D43" s="64">
        <v>7349</v>
      </c>
      <c r="E43" s="64">
        <v>4794</v>
      </c>
      <c r="F43" s="64">
        <v>5197</v>
      </c>
      <c r="G43" s="64">
        <v>7776</v>
      </c>
      <c r="H43" s="64">
        <v>9081</v>
      </c>
      <c r="I43" s="64">
        <v>6662</v>
      </c>
      <c r="J43" s="65">
        <f>'Balance Sheet'!I7</f>
        <v>8049</v>
      </c>
      <c r="K43" s="65">
        <f>J44</f>
        <v>7858.3586361992038</v>
      </c>
      <c r="L43" s="65">
        <f>K44</f>
        <v>8504.1074548293727</v>
      </c>
      <c r="M43" s="19" t="s">
        <v>308</v>
      </c>
    </row>
    <row r="44" spans="2:13" x14ac:dyDescent="0.25">
      <c r="B44" s="43" t="s">
        <v>309</v>
      </c>
      <c r="C44" s="66">
        <v>7349</v>
      </c>
      <c r="D44" s="66">
        <v>4794</v>
      </c>
      <c r="E44" s="66">
        <v>5197</v>
      </c>
      <c r="F44" s="66">
        <v>7776</v>
      </c>
      <c r="G44" s="66">
        <v>9081</v>
      </c>
      <c r="H44" s="66">
        <v>6662</v>
      </c>
      <c r="I44" s="66">
        <v>8049</v>
      </c>
      <c r="J44" s="67">
        <f>J43+J41</f>
        <v>7858.3586361992038</v>
      </c>
      <c r="K44" s="67">
        <f>K43+K41</f>
        <v>8504.1074548293727</v>
      </c>
      <c r="L44" s="67">
        <f>L43+L41</f>
        <v>10114.872716429159</v>
      </c>
      <c r="M44" s="19" t="s">
        <v>310</v>
      </c>
    </row>
    <row r="48" spans="2:13" x14ac:dyDescent="0.25">
      <c r="B48" s="156" t="s">
        <v>311</v>
      </c>
      <c r="C48" s="154"/>
      <c r="D48" s="154"/>
      <c r="E48" s="154"/>
      <c r="F48" s="154"/>
      <c r="G48" s="154"/>
      <c r="H48" s="154"/>
      <c r="I48" s="154"/>
      <c r="J48" s="154"/>
      <c r="K48" s="154"/>
      <c r="L48" s="154"/>
      <c r="M48" s="26"/>
    </row>
    <row r="49" spans="2:13" x14ac:dyDescent="0.25">
      <c r="B49" s="43" t="s">
        <v>312</v>
      </c>
      <c r="C49" s="44">
        <v>3858</v>
      </c>
      <c r="D49" s="44">
        <v>4987</v>
      </c>
      <c r="E49" s="44">
        <v>5435</v>
      </c>
      <c r="F49" s="44">
        <v>5107</v>
      </c>
      <c r="G49" s="44">
        <v>4247</v>
      </c>
      <c r="H49" s="44">
        <v>5884</v>
      </c>
      <c r="I49" s="44">
        <v>6615</v>
      </c>
      <c r="J49" s="45">
        <f>J20+J25</f>
        <v>5896.3586361992038</v>
      </c>
      <c r="K49" s="45">
        <f>K20+K25</f>
        <v>6745.7488186301698</v>
      </c>
      <c r="L49" s="45">
        <f>L20+L25</f>
        <v>7710.7652615997868</v>
      </c>
      <c r="M49" s="19" t="s">
        <v>313</v>
      </c>
    </row>
    <row r="50" spans="2:13" x14ac:dyDescent="0.25">
      <c r="B50" s="46" t="s">
        <v>314</v>
      </c>
      <c r="C50" s="47">
        <v>0.2170830519918974</v>
      </c>
      <c r="D50" s="47">
        <v>0.23245082502097511</v>
      </c>
      <c r="E50" s="47">
        <v>0.21422096093965551</v>
      </c>
      <c r="F50" s="47">
        <v>0.1855876153790246</v>
      </c>
      <c r="G50" s="47">
        <v>0.1426556044472809</v>
      </c>
      <c r="H50" s="47">
        <v>0.18504890398465271</v>
      </c>
      <c r="I50" s="47">
        <v>0.19941516941999279</v>
      </c>
      <c r="J50" s="48">
        <f>J49/'Income Statement'!J7</f>
        <v>0.17255951525312274</v>
      </c>
      <c r="K50" s="48">
        <f>K49/'Income Statement'!K7</f>
        <v>0.18980722618542964</v>
      </c>
      <c r="L50" s="48">
        <f>L49/'Income Statement'!L7</f>
        <v>0.20661214527330618</v>
      </c>
    </row>
    <row r="51" spans="2:13" x14ac:dyDescent="0.25">
      <c r="B51" s="31" t="s">
        <v>315</v>
      </c>
      <c r="C51" s="68">
        <v>3.25</v>
      </c>
      <c r="D51" s="68">
        <v>4.2</v>
      </c>
      <c r="E51" s="68">
        <v>4.59</v>
      </c>
      <c r="F51" s="68">
        <v>4.42</v>
      </c>
      <c r="G51" s="68">
        <v>3.84</v>
      </c>
      <c r="H51" s="68">
        <v>5.59</v>
      </c>
      <c r="I51" s="68">
        <v>7.03</v>
      </c>
      <c r="J51" s="50">
        <f>J49/'Income Statement'!J45</f>
        <v>6.2727219534034084</v>
      </c>
      <c r="K51" s="50">
        <f>K49/'Income Statement'!K45</f>
        <v>7.5794930546406398</v>
      </c>
      <c r="L51" s="50">
        <f>L49/'Income Statement'!L45</f>
        <v>9.1794824542854609</v>
      </c>
      <c r="M51" s="19" t="s">
        <v>316</v>
      </c>
    </row>
    <row r="54" spans="2:13" x14ac:dyDescent="0.25">
      <c r="B54" s="19" t="s">
        <v>317</v>
      </c>
    </row>
    <row r="55" spans="2:13" x14ac:dyDescent="0.25">
      <c r="B55" s="57" t="s">
        <v>318</v>
      </c>
    </row>
    <row r="56" spans="2:13" x14ac:dyDescent="0.25">
      <c r="B56" s="57" t="s">
        <v>319</v>
      </c>
    </row>
    <row r="57" spans="2:13" x14ac:dyDescent="0.25">
      <c r="B57" s="57" t="s">
        <v>320</v>
      </c>
    </row>
    <row r="58" spans="2:13" x14ac:dyDescent="0.25">
      <c r="B58" s="57" t="s">
        <v>321</v>
      </c>
    </row>
    <row r="59" spans="2:13" x14ac:dyDescent="0.25">
      <c r="B59" s="57" t="s">
        <v>322</v>
      </c>
    </row>
    <row r="60" spans="2:13" x14ac:dyDescent="0.25">
      <c r="B60" s="57" t="s">
        <v>323</v>
      </c>
    </row>
    <row r="61" spans="2:13" x14ac:dyDescent="0.25">
      <c r="B61" s="57" t="s">
        <v>324</v>
      </c>
    </row>
    <row r="62" spans="2:13" x14ac:dyDescent="0.25">
      <c r="B62" s="57" t="s">
        <v>325</v>
      </c>
    </row>
    <row r="63" spans="2:13" x14ac:dyDescent="0.25">
      <c r="B63" s="57" t="s">
        <v>326</v>
      </c>
    </row>
    <row r="64" spans="2:13" x14ac:dyDescent="0.25">
      <c r="B64" s="57" t="s">
        <v>327</v>
      </c>
    </row>
    <row r="65" spans="2:2" x14ac:dyDescent="0.25">
      <c r="B65" s="57" t="s">
        <v>328</v>
      </c>
    </row>
    <row r="66" spans="2:2" x14ac:dyDescent="0.25">
      <c r="B66" s="57" t="s">
        <v>329</v>
      </c>
    </row>
  </sheetData>
  <mergeCells count="6">
    <mergeCell ref="B1:L1"/>
    <mergeCell ref="B6:L6"/>
    <mergeCell ref="B48:L48"/>
    <mergeCell ref="B24:L24"/>
    <mergeCell ref="B31:L31"/>
    <mergeCell ref="B40:L4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F42C1"/>
  </sheetPr>
  <dimension ref="B1:M38"/>
  <sheetViews>
    <sheetView workbookViewId="0">
      <pane xSplit="2" ySplit="4" topLeftCell="C5" activePane="bottomRight" state="frozen"/>
      <selection pane="topRight"/>
      <selection pane="bottomLeft"/>
      <selection pane="bottomRight"/>
    </sheetView>
  </sheetViews>
  <sheetFormatPr baseColWidth="10" defaultColWidth="9.140625" defaultRowHeight="15" x14ac:dyDescent="0.25"/>
  <cols>
    <col min="1" max="1" width="2" customWidth="1"/>
    <col min="2" max="2" width="32" customWidth="1"/>
    <col min="3" max="12" width="13" customWidth="1"/>
    <col min="13" max="13" width="30" customWidth="1"/>
  </cols>
  <sheetData>
    <row r="1" spans="2:13" ht="18" x14ac:dyDescent="0.25">
      <c r="B1" s="155" t="s">
        <v>330</v>
      </c>
      <c r="C1" s="146"/>
      <c r="D1" s="146"/>
      <c r="E1" s="146"/>
      <c r="F1" s="146"/>
      <c r="G1" s="146"/>
      <c r="H1" s="146"/>
      <c r="I1" s="146"/>
      <c r="J1" s="146"/>
      <c r="K1" s="146"/>
      <c r="L1" s="146"/>
    </row>
    <row r="2" spans="2:13" x14ac:dyDescent="0.25">
      <c r="B2" s="19" t="s">
        <v>331</v>
      </c>
      <c r="M2" s="20" t="s">
        <v>332</v>
      </c>
    </row>
    <row r="3" spans="2:13" x14ac:dyDescent="0.25">
      <c r="B3" s="2"/>
      <c r="C3" s="21" t="s">
        <v>59</v>
      </c>
      <c r="D3" s="21" t="s">
        <v>60</v>
      </c>
      <c r="E3" s="21" t="s">
        <v>61</v>
      </c>
      <c r="F3" s="21" t="s">
        <v>62</v>
      </c>
      <c r="G3" s="21" t="s">
        <v>63</v>
      </c>
      <c r="H3" s="21" t="s">
        <v>64</v>
      </c>
      <c r="I3" s="21" t="s">
        <v>65</v>
      </c>
      <c r="J3" s="22" t="s">
        <v>66</v>
      </c>
      <c r="K3" s="22" t="s">
        <v>67</v>
      </c>
      <c r="L3" s="22" t="s">
        <v>68</v>
      </c>
      <c r="M3" s="2"/>
    </row>
    <row r="4" spans="2:13" x14ac:dyDescent="0.25">
      <c r="C4" s="24" t="s">
        <v>69</v>
      </c>
      <c r="D4" s="24" t="s">
        <v>69</v>
      </c>
      <c r="E4" s="24" t="s">
        <v>69</v>
      </c>
      <c r="F4" s="24" t="s">
        <v>69</v>
      </c>
      <c r="G4" s="24" t="s">
        <v>69</v>
      </c>
      <c r="H4" s="24" t="s">
        <v>69</v>
      </c>
      <c r="I4" s="24" t="s">
        <v>69</v>
      </c>
      <c r="J4" s="25" t="s">
        <v>70</v>
      </c>
      <c r="K4" s="25" t="s">
        <v>70</v>
      </c>
      <c r="L4" s="25" t="s">
        <v>70</v>
      </c>
    </row>
    <row r="6" spans="2:13" x14ac:dyDescent="0.25">
      <c r="B6" s="157" t="s">
        <v>333</v>
      </c>
      <c r="C6" s="154"/>
      <c r="D6" s="154"/>
      <c r="E6" s="154"/>
      <c r="F6" s="154"/>
      <c r="G6" s="154"/>
      <c r="H6" s="154"/>
      <c r="I6" s="154"/>
      <c r="J6" s="154"/>
      <c r="K6" s="154"/>
      <c r="L6" s="154"/>
      <c r="M6" s="26"/>
    </row>
    <row r="7" spans="2:13" x14ac:dyDescent="0.25">
      <c r="B7" s="23" t="s">
        <v>334</v>
      </c>
      <c r="C7" s="32">
        <f>'Income Statement'!C15/'Income Statement'!C7</f>
        <v>0.4370920549178483</v>
      </c>
      <c r="D7" s="32">
        <f>'Income Statement'!D15/'Income Statement'!D7</f>
        <v>0.42887107299338117</v>
      </c>
      <c r="E7" s="32">
        <f>'Income Statement'!E15/'Income Statement'!E7</f>
        <v>0.43900516337550749</v>
      </c>
      <c r="F7" s="32">
        <f>'Income Statement'!F15/'Income Statement'!F7</f>
        <v>0.44305545461152701</v>
      </c>
      <c r="G7" s="32">
        <f>'Income Statement'!G15/'Income Statement'!G7</f>
        <v>0.44929629505223206</v>
      </c>
      <c r="H7" s="32">
        <f>'Income Statement'!H15/'Income Statement'!H7</f>
        <v>0.46092398653961064</v>
      </c>
      <c r="I7" s="32">
        <f>'Income Statement'!I15/'Income Statement'!I7</f>
        <v>0.46153382370674062</v>
      </c>
      <c r="J7" s="69">
        <f>'Income Statement'!J15/'Income Statement'!J7</f>
        <v>0.44500000000000006</v>
      </c>
      <c r="K7" s="69">
        <f>'Income Statement'!K15/'Income Statement'!K7</f>
        <v>0.44799999999999995</v>
      </c>
      <c r="L7" s="69">
        <f>'Income Statement'!L15/'Income Statement'!L7</f>
        <v>0.45</v>
      </c>
      <c r="M7" s="19" t="s">
        <v>335</v>
      </c>
    </row>
    <row r="8" spans="2:13" x14ac:dyDescent="0.25">
      <c r="B8" s="23" t="s">
        <v>336</v>
      </c>
      <c r="C8" s="32">
        <f>'Income Statement'!C23/'Income Statement'!C7</f>
        <v>0.15006752194463199</v>
      </c>
      <c r="D8" s="32">
        <f>'Income Statement'!D23/'Income Statement'!D7</f>
        <v>0.15330474503589075</v>
      </c>
      <c r="E8" s="32">
        <f>'Income Statement'!E23/'Income Statement'!E7</f>
        <v>0.16562216704110994</v>
      </c>
      <c r="F8" s="32">
        <f>'Income Statement'!F23/'Income Statement'!F7</f>
        <v>0.15030162075732248</v>
      </c>
      <c r="G8" s="32">
        <f>'Income Statement'!G23/'Income Statement'!G7</f>
        <v>0.16888918746431092</v>
      </c>
      <c r="H8" s="32">
        <f>'Income Statement'!H23/'Income Statement'!H7</f>
        <v>0.179828285687329</v>
      </c>
      <c r="I8" s="32">
        <f>'Income Statement'!I23/'Income Statement'!I7</f>
        <v>0.18111660436512722</v>
      </c>
      <c r="J8" s="69">
        <f>'Income Statement'!J23/'Income Statement'!J7</f>
        <v>0.15500000000000005</v>
      </c>
      <c r="K8" s="69">
        <f>'Income Statement'!K23/'Income Statement'!K7</f>
        <v>0.16299999999999995</v>
      </c>
      <c r="L8" s="69">
        <f>'Income Statement'!L23/'Income Statement'!L7</f>
        <v>0.16999999999999998</v>
      </c>
      <c r="M8" s="19" t="s">
        <v>337</v>
      </c>
    </row>
    <row r="9" spans="2:13" x14ac:dyDescent="0.25">
      <c r="B9" s="23" t="s">
        <v>338</v>
      </c>
      <c r="C9" s="32">
        <f>'Income Statement'!C39/'Income Statement'!C7</f>
        <v>0.13836371820841772</v>
      </c>
      <c r="D9" s="32">
        <f>'Income Statement'!D39/'Income Statement'!D7</f>
        <v>0.19586091171809453</v>
      </c>
      <c r="E9" s="32">
        <f>'Income Statement'!E39/'Income Statement'!E7</f>
        <v>0.16432146939419021</v>
      </c>
      <c r="F9" s="32">
        <f>'Income Statement'!F39/'Income Statement'!F7</f>
        <v>8.7906097826876958E-2</v>
      </c>
      <c r="G9" s="32">
        <f>'Income Statement'!G39/'Income Statement'!G7</f>
        <v>0.14262201471230393</v>
      </c>
      <c r="H9" s="32">
        <f>'Income Statement'!H39/'Income Statement'!H7</f>
        <v>0.1438185992389219</v>
      </c>
      <c r="I9" s="32">
        <f>'Income Statement'!I39/'Income Statement'!I7</f>
        <v>0.12992885566140119</v>
      </c>
      <c r="J9" s="69">
        <f>'Income Statement'!J39/'Income Statement'!J7</f>
        <v>0.12329762949956106</v>
      </c>
      <c r="K9" s="69">
        <f>'Income Statement'!K39/'Income Statement'!K7</f>
        <v>0.12882431063590319</v>
      </c>
      <c r="L9" s="69">
        <f>'Income Statement'!L39/'Income Statement'!L7</f>
        <v>0.13407073954983922</v>
      </c>
      <c r="M9" s="19" t="s">
        <v>339</v>
      </c>
    </row>
    <row r="10" spans="2:13" x14ac:dyDescent="0.25">
      <c r="B10" s="23" t="s">
        <v>340</v>
      </c>
      <c r="C10" s="32">
        <f>('Income Statement'!C23+Assumptions!C24)/'Income Statement'!C7</f>
        <v>0.19564483457123566</v>
      </c>
      <c r="D10" s="32">
        <f>('Income Statement'!D23+Assumptions!D24)/'Income Statement'!D7</f>
        <v>0.20042882446163884</v>
      </c>
      <c r="E10" s="32">
        <f>('Income Statement'!E23+Assumptions!E24)/'Income Statement'!E7</f>
        <v>0.21292026329273581</v>
      </c>
      <c r="F10" s="32">
        <f>('Income Statement'!F23+Assumptions!F24)/'Income Statement'!F7</f>
        <v>0.19659859001380914</v>
      </c>
      <c r="G10" s="32">
        <f>('Income Statement'!G23+Assumptions!G24)/'Income Statement'!G7</f>
        <v>0.21221994558462934</v>
      </c>
      <c r="H10" s="32">
        <f>('Income Statement'!H23+Assumptions!H24)/'Income Statement'!H7</f>
        <v>0.21942321602666917</v>
      </c>
      <c r="I10" s="32">
        <f>('Income Statement'!I23+Assumptions!I24)/'Income Statement'!I7</f>
        <v>0.21970336428313036</v>
      </c>
      <c r="J10" s="69">
        <f>('Income Statement'!J23+Assumptions!J24)/'Income Statement'!J7</f>
        <v>0.19304506877377822</v>
      </c>
      <c r="K10" s="69">
        <f>('Income Statement'!K23+Assumptions!K24)/'Income Statement'!K7</f>
        <v>0.20014124929656721</v>
      </c>
      <c r="L10" s="69">
        <f>('Income Statement'!L23+Assumptions!L24)/'Income Statement'!L7</f>
        <v>0.20590568060021436</v>
      </c>
      <c r="M10" s="19" t="s">
        <v>341</v>
      </c>
    </row>
    <row r="11" spans="2:13" x14ac:dyDescent="0.25">
      <c r="B11" s="12" t="s">
        <v>342</v>
      </c>
      <c r="C11" s="70">
        <f>'Cash Flow'!C49/'Income Statement'!C7</f>
        <v>0.21708305199189737</v>
      </c>
      <c r="D11" s="70">
        <f>'Cash Flow'!D49/'Income Statement'!D7</f>
        <v>0.23245082502097511</v>
      </c>
      <c r="E11" s="70">
        <f>'Cash Flow'!E49/'Income Statement'!E7</f>
        <v>0.21422096093965551</v>
      </c>
      <c r="F11" s="70">
        <f>'Cash Flow'!F49/'Income Statement'!F7</f>
        <v>0.18558761537902463</v>
      </c>
      <c r="G11" s="70">
        <f>'Cash Flow'!G49/'Income Statement'!G7</f>
        <v>0.1426556044472809</v>
      </c>
      <c r="H11" s="70">
        <f>'Cash Flow'!H49/'Income Statement'!H7</f>
        <v>0.18504890398465265</v>
      </c>
      <c r="I11" s="70">
        <f>'Cash Flow'!I49/'Income Statement'!I7</f>
        <v>0.19941516941999277</v>
      </c>
      <c r="J11" s="71">
        <f>'Cash Flow'!J49/'Income Statement'!J7</f>
        <v>0.17255951525312274</v>
      </c>
      <c r="K11" s="71">
        <f>'Cash Flow'!K49/'Income Statement'!K7</f>
        <v>0.18980722618542964</v>
      </c>
      <c r="L11" s="71">
        <f>'Cash Flow'!L49/'Income Statement'!L7</f>
        <v>0.20661214527330618</v>
      </c>
      <c r="M11" s="19" t="s">
        <v>343</v>
      </c>
    </row>
    <row r="14" spans="2:13" x14ac:dyDescent="0.25">
      <c r="B14" s="157" t="s">
        <v>344</v>
      </c>
      <c r="C14" s="154"/>
      <c r="D14" s="154"/>
      <c r="E14" s="154"/>
      <c r="F14" s="154"/>
      <c r="G14" s="154"/>
      <c r="H14" s="154"/>
      <c r="I14" s="154"/>
      <c r="J14" s="154"/>
      <c r="K14" s="154"/>
      <c r="L14" s="154"/>
      <c r="M14" s="26"/>
    </row>
    <row r="15" spans="2:13" x14ac:dyDescent="0.25">
      <c r="B15" s="12" t="s">
        <v>345</v>
      </c>
      <c r="C15" s="70">
        <f>'Income Statement'!C39/'Balance Sheet'!C46</f>
        <v>0.14563221794492154</v>
      </c>
      <c r="D15" s="70">
        <f>'Income Statement'!D39/'Balance Sheet'!D46</f>
        <v>0.20990059443528647</v>
      </c>
      <c r="E15" s="70">
        <f>'Income Statement'!E39/'Balance Sheet'!E46</f>
        <v>0.19188106963685736</v>
      </c>
      <c r="F15" s="70">
        <f>'Income Statement'!F39/'Balance Sheet'!F46</f>
        <v>0.11931537930354148</v>
      </c>
      <c r="G15" s="70">
        <f>'Income Statement'!G39/'Balance Sheet'!G46</f>
        <v>0.20170063179896441</v>
      </c>
      <c r="H15" s="70">
        <f>'Income Statement'!H39/'Balance Sheet'!H46</f>
        <v>0.22398001665278935</v>
      </c>
      <c r="I15" s="70">
        <f>'Income Statement'!I39/'Balance Sheet'!I46</f>
        <v>0.21277646129541863</v>
      </c>
      <c r="J15" s="71">
        <f>'Income Statement'!J39/'Balance Sheet'!J46</f>
        <v>0.21239692920102363</v>
      </c>
      <c r="K15" s="71">
        <f>'Income Statement'!K39/'Balance Sheet'!K46</f>
        <v>0.23122897386289415</v>
      </c>
      <c r="L15" s="71">
        <f>'Income Statement'!L39/'Balance Sheet'!L46</f>
        <v>0.24742909170965779</v>
      </c>
      <c r="M15" s="19" t="s">
        <v>346</v>
      </c>
    </row>
    <row r="16" spans="2:13" x14ac:dyDescent="0.25">
      <c r="B16" s="23" t="s">
        <v>347</v>
      </c>
      <c r="C16" s="32">
        <f>'Income Statement'!C39/'Balance Sheet'!C21</f>
        <v>4.7902908460444552E-2</v>
      </c>
      <c r="D16" s="32">
        <f>'Income Statement'!D39/'Balance Sheet'!D21</f>
        <v>5.970530982253229E-2</v>
      </c>
      <c r="E16" s="32">
        <f>'Income Statement'!E39/'Balance Sheet'!E21</f>
        <v>5.4997823305146236E-2</v>
      </c>
      <c r="F16" s="32">
        <f>'Income Statement'!F39/'Balance Sheet'!F21</f>
        <v>3.0766687016687017E-2</v>
      </c>
      <c r="G16" s="32">
        <f>'Income Statement'!G39/'Balance Sheet'!G21</f>
        <v>5.1675875666334005E-2</v>
      </c>
      <c r="H16" s="32">
        <f>'Income Statement'!H39/'Balance Sheet'!H21</f>
        <v>5.8088281994283897E-2</v>
      </c>
      <c r="I16" s="32">
        <f>'Income Statement'!I39/'Balance Sheet'!I21</f>
        <v>5.3758746710239107E-2</v>
      </c>
      <c r="J16" s="69">
        <f>'Income Statement'!J39/'Balance Sheet'!J21</f>
        <v>5.1973145852851108E-2</v>
      </c>
      <c r="K16" s="69">
        <f>'Income Statement'!K39/'Balance Sheet'!K21</f>
        <v>5.5306403007119871E-2</v>
      </c>
      <c r="L16" s="69">
        <f>'Income Statement'!L39/'Balance Sheet'!L21</f>
        <v>5.8544365869646182E-2</v>
      </c>
      <c r="M16" s="19" t="s">
        <v>348</v>
      </c>
    </row>
    <row r="17" spans="2:13" x14ac:dyDescent="0.25">
      <c r="B17" s="12" t="s">
        <v>349</v>
      </c>
      <c r="C17" s="70">
        <f>'Income Statement'!C23*(1-Assumptions!C18)/('Balance Sheet'!C21-'Balance Sheet'!C7)</f>
        <v>6.1283662616469878E-2</v>
      </c>
      <c r="D17" s="70">
        <f>'Income Statement'!D23*(1-Assumptions!D18)/('Balance Sheet'!D21-'Balance Sheet'!D7)</f>
        <v>6.9661050545094153E-2</v>
      </c>
      <c r="E17" s="70">
        <f>'Income Statement'!E23*(1-Assumptions!E18)/('Balance Sheet'!E21-'Balance Sheet'!E7)</f>
        <v>6.2496518980590554E-2</v>
      </c>
      <c r="F17" s="70">
        <f>'Income Statement'!F23*(1-Assumptions!F18)/('Balance Sheet'!F21-'Balance Sheet'!F7)</f>
        <v>3.6900337756099445E-2</v>
      </c>
      <c r="G17" s="70">
        <f>'Income Statement'!G23*(1-Assumptions!G18)/('Balance Sheet'!G21-'Balance Sheet'!G7)</f>
        <v>6.264430452697925E-2</v>
      </c>
      <c r="H17" s="70">
        <f>'Income Statement'!H23*(1-Assumptions!H18)/('Balance Sheet'!H21-'Balance Sheet'!H7)</f>
        <v>6.8128974579962531E-2</v>
      </c>
      <c r="I17" s="70">
        <f>'Income Statement'!I23*(1-Assumptions!I18)/('Balance Sheet'!I21-'Balance Sheet'!I7)</f>
        <v>6.3997723864554518E-2</v>
      </c>
      <c r="J17" s="71">
        <f>'Income Statement'!J23*(1-Assumptions!J18)/('Balance Sheet'!J21-'Balance Sheet'!J7)</f>
        <v>5.7880227492427556E-2</v>
      </c>
      <c r="K17" s="71">
        <f>'Income Statement'!K23*(1-Assumptions!K18)/('Balance Sheet'!K21-'Balance Sheet'!K7)</f>
        <v>6.2392310788775128E-2</v>
      </c>
      <c r="L17" s="71">
        <f>'Income Statement'!L23*(1-Assumptions!L18)/('Balance Sheet'!L21-'Balance Sheet'!L7)</f>
        <v>6.735874950680161E-2</v>
      </c>
      <c r="M17" s="19" t="s">
        <v>350</v>
      </c>
    </row>
    <row r="20" spans="2:13" x14ac:dyDescent="0.25">
      <c r="B20" s="157" t="s">
        <v>351</v>
      </c>
      <c r="C20" s="154"/>
      <c r="D20" s="154"/>
      <c r="E20" s="154"/>
      <c r="F20" s="154"/>
      <c r="G20" s="154"/>
      <c r="H20" s="154"/>
      <c r="I20" s="154"/>
      <c r="J20" s="154"/>
      <c r="K20" s="154"/>
      <c r="L20" s="154"/>
      <c r="M20" s="26"/>
    </row>
    <row r="21" spans="2:13" x14ac:dyDescent="0.25">
      <c r="B21" s="23" t="s">
        <v>101</v>
      </c>
      <c r="C21" s="38">
        <f>'Balance Sheet'!C12/'Balance Sheet'!C29</f>
        <v>1.4300308332404621</v>
      </c>
      <c r="D21" s="38">
        <f>'Balance Sheet'!D12/'Balance Sheet'!D29</f>
        <v>1.3263713683772467</v>
      </c>
      <c r="E21" s="38">
        <f>'Balance Sheet'!E12/'Balance Sheet'!E29</f>
        <v>0.41899649073880407</v>
      </c>
      <c r="F21" s="38">
        <f>'Balance Sheet'!F12/'Balance Sheet'!F29</f>
        <v>1.2758620689655173</v>
      </c>
      <c r="G21" s="38">
        <f>'Balance Sheet'!G12/'Balance Sheet'!G29</f>
        <v>1.2909874963892214</v>
      </c>
      <c r="H21" s="38">
        <f>'Balance Sheet'!H12/'Balance Sheet'!H29</f>
        <v>1.2795339635084635</v>
      </c>
      <c r="I21" s="38">
        <f>'Balance Sheet'!I12/'Balance Sheet'!I29</f>
        <v>1.2867170510087633</v>
      </c>
      <c r="J21" s="72">
        <f>'Balance Sheet'!J12/'Balance Sheet'!J29</f>
        <v>1.2761067820660423</v>
      </c>
      <c r="K21" s="72">
        <f>'Balance Sheet'!K12/'Balance Sheet'!K29</f>
        <v>1.2725274028015374</v>
      </c>
      <c r="L21" s="72">
        <f>'Balance Sheet'!L12/'Balance Sheet'!L29</f>
        <v>1.2767197662361689</v>
      </c>
      <c r="M21" s="19" t="s">
        <v>352</v>
      </c>
    </row>
    <row r="24" spans="2:13" x14ac:dyDescent="0.25">
      <c r="B24" s="157" t="s">
        <v>353</v>
      </c>
      <c r="C24" s="154"/>
      <c r="D24" s="154"/>
      <c r="E24" s="154"/>
      <c r="F24" s="154"/>
      <c r="G24" s="154"/>
      <c r="H24" s="154"/>
      <c r="I24" s="154"/>
      <c r="J24" s="154"/>
      <c r="K24" s="154"/>
      <c r="L24" s="154"/>
      <c r="M24" s="26"/>
    </row>
    <row r="25" spans="2:13" x14ac:dyDescent="0.25">
      <c r="B25" s="23" t="s">
        <v>354</v>
      </c>
      <c r="C25" s="38">
        <f>'Balance Sheet'!C33/'Balance Sheet'!C46</f>
        <v>0.29404797157240153</v>
      </c>
      <c r="D25" s="38">
        <f>'Balance Sheet'!D33/'Balance Sheet'!D46</f>
        <v>0.44652580048953494</v>
      </c>
      <c r="E25" s="38">
        <f>'Balance Sheet'!E33/'Balance Sheet'!E46</f>
        <v>0.37046071708013073</v>
      </c>
      <c r="F25" s="38">
        <f>'Balance Sheet'!F33/'Balance Sheet'!F46</f>
        <v>0.51381079214757819</v>
      </c>
      <c r="G25" s="38">
        <f>'Balance Sheet'!G33/'Balance Sheet'!G46</f>
        <v>0.45964562253574653</v>
      </c>
      <c r="H25" s="38">
        <f>'Balance Sheet'!H33/'Balance Sheet'!H46</f>
        <v>0.48386148797570649</v>
      </c>
      <c r="I25" s="38">
        <f>'Balance Sheet'!I33/'Balance Sheet'!I46</f>
        <v>0.49303909952606634</v>
      </c>
      <c r="J25" s="72">
        <f>'Balance Sheet'!J33/'Balance Sheet'!J46</f>
        <v>0.49909557831565815</v>
      </c>
      <c r="K25" s="72">
        <f>'Balance Sheet'!K33/'Balance Sheet'!K46</f>
        <v>0.49494059601756657</v>
      </c>
      <c r="L25" s="72">
        <f>'Balance Sheet'!L33/'Balance Sheet'!L46</f>
        <v>0.47967474689492212</v>
      </c>
      <c r="M25" s="19" t="s">
        <v>355</v>
      </c>
    </row>
    <row r="26" spans="2:13" x14ac:dyDescent="0.25">
      <c r="B26" s="23" t="s">
        <v>356</v>
      </c>
      <c r="C26" s="38">
        <f>('Balance Sheet'!C33-'Balance Sheet'!C7)/('Income Statement'!C23+Assumptions!C24)</f>
        <v>-0.68564854759850447</v>
      </c>
      <c r="D26" s="38">
        <f>('Balance Sheet'!D33-'Balance Sheet'!D7)/('Income Statement'!D23+Assumptions!D24)</f>
        <v>0.96395348837209305</v>
      </c>
      <c r="E26" s="38">
        <f>('Balance Sheet'!E33-'Balance Sheet'!E7)/('Income Statement'!E23+Assumptions!E24)</f>
        <v>0.52795261014439099</v>
      </c>
      <c r="F26" s="38">
        <f>('Balance Sheet'!F33-'Balance Sheet'!F7)/('Income Statement'!F23+Assumptions!F24)</f>
        <v>0.48817005545286507</v>
      </c>
      <c r="G26" s="38">
        <f>('Balance Sheet'!G33-'Balance Sheet'!G7)/('Income Statement'!G23+Assumptions!G24)</f>
        <v>9.4175371953149734E-2</v>
      </c>
      <c r="H26" s="38">
        <f>('Balance Sheet'!H33-'Balance Sheet'!H7)/('Income Statement'!H23+Assumptions!H24)</f>
        <v>0.46108642683101619</v>
      </c>
      <c r="I26" s="38">
        <f>('Balance Sheet'!I33-'Balance Sheet'!I7)/('Income Statement'!I23+Assumptions!I24)</f>
        <v>0.2659165751920966</v>
      </c>
      <c r="J26" s="72">
        <f>('Balance Sheet'!J33-'Balance Sheet'!J7)/('Income Statement'!J23+Assumptions!J24)</f>
        <v>0.30951076941047634</v>
      </c>
      <c r="K26" s="72">
        <f>('Balance Sheet'!K33-'Balance Sheet'!K7)/('Income Statement'!K23+Assumptions!K24)</f>
        <v>0.18218598361464294</v>
      </c>
      <c r="L26" s="72">
        <f>('Balance Sheet'!L33-'Balance Sheet'!L7)/('Income Statement'!L23+Assumptions!L24)</f>
        <v>-5.3988953780276863E-2</v>
      </c>
      <c r="M26" s="19" t="s">
        <v>357</v>
      </c>
    </row>
    <row r="27" spans="2:13" x14ac:dyDescent="0.25">
      <c r="B27" s="23" t="s">
        <v>358</v>
      </c>
      <c r="C27" s="38">
        <f>'Income Statement'!C23/ABS('Income Statement'!C29)</f>
        <v>11.397435897435898</v>
      </c>
      <c r="D27" s="38">
        <f>'Income Statement'!D23/ABS('Income Statement'!D29)</f>
        <v>12.458333333333334</v>
      </c>
      <c r="E27" s="38">
        <f>'Income Statement'!E23/ABS('Income Statement'!E29)</f>
        <v>18.112068965517242</v>
      </c>
      <c r="F27" s="38">
        <f>'Income Statement'!F23/ABS('Income Statement'!F29)</f>
        <v>13.385113268608414</v>
      </c>
      <c r="G27" s="38">
        <f>'Income Statement'!G23/ABS('Income Statement'!G29)</f>
        <v>13.775342465753425</v>
      </c>
      <c r="H27" s="38">
        <f>'Income Statement'!H23/ABS('Income Statement'!H29)</f>
        <v>14.586734693877551</v>
      </c>
      <c r="I27" s="38">
        <f>'Income Statement'!I23/ABS('Income Statement'!I29)</f>
        <v>15.095477386934673</v>
      </c>
      <c r="J27" s="72">
        <f>'Income Statement'!J23/ABS('Income Statement'!J29)</f>
        <v>12.917926829268298</v>
      </c>
      <c r="K27" s="72">
        <f>'Income Statement'!K23/ABS('Income Statement'!K29)</f>
        <v>13.792904761904758</v>
      </c>
      <c r="L27" s="72">
        <f>'Income Statement'!L23/ABS('Income Statement'!L29)</f>
        <v>15.105714285714285</v>
      </c>
      <c r="M27" s="19" t="s">
        <v>359</v>
      </c>
    </row>
    <row r="30" spans="2:13" x14ac:dyDescent="0.25">
      <c r="B30" s="157" t="s">
        <v>360</v>
      </c>
      <c r="C30" s="154"/>
      <c r="D30" s="154"/>
      <c r="E30" s="154"/>
      <c r="F30" s="154"/>
      <c r="G30" s="154"/>
      <c r="H30" s="154"/>
      <c r="I30" s="154"/>
      <c r="J30" s="154"/>
      <c r="K30" s="154"/>
      <c r="L30" s="154"/>
      <c r="M30" s="26"/>
    </row>
    <row r="31" spans="2:13" x14ac:dyDescent="0.25">
      <c r="B31" s="23" t="s">
        <v>361</v>
      </c>
      <c r="C31" s="38">
        <f>'Income Statement'!C7/'Balance Sheet'!C21</f>
        <v>0.34621004032493718</v>
      </c>
      <c r="D31" s="38">
        <f>'Income Statement'!D7/'Balance Sheet'!D21</f>
        <v>0.30483524915102517</v>
      </c>
      <c r="E31" s="38">
        <f>'Income Statement'!E7/'Balance Sheet'!E21</f>
        <v>0.334696515969025</v>
      </c>
      <c r="F31" s="38">
        <f>'Income Statement'!F7/'Balance Sheet'!F21</f>
        <v>0.34999491249491249</v>
      </c>
      <c r="G31" s="38">
        <f>'Income Statement'!G7/'Balance Sheet'!G21</f>
        <v>0.36232748338728915</v>
      </c>
      <c r="H31" s="38">
        <f>'Income Statement'!H7/'Balance Sheet'!H21</f>
        <v>0.40389965068275641</v>
      </c>
      <c r="I31" s="38">
        <f>'Income Statement'!I7/'Balance Sheet'!I21</f>
        <v>0.41375525426265702</v>
      </c>
      <c r="J31" s="72">
        <f>'Income Statement'!J7/'Balance Sheet'!J21</f>
        <v>0.42152591305931092</v>
      </c>
      <c r="K31" s="72">
        <f>'Income Statement'!K7/'Balance Sheet'!K21</f>
        <v>0.42931650659814236</v>
      </c>
      <c r="L31" s="72">
        <f>'Income Statement'!L7/'Balance Sheet'!L21</f>
        <v>0.43666773276717108</v>
      </c>
      <c r="M31" s="19" t="s">
        <v>362</v>
      </c>
    </row>
    <row r="32" spans="2:13" x14ac:dyDescent="0.25">
      <c r="B32" s="23" t="s">
        <v>363</v>
      </c>
      <c r="C32" s="32">
        <f>ABS('Cash Flow'!C25)/'Income Statement'!C7</f>
        <v>3.9612874184109838E-2</v>
      </c>
      <c r="D32" s="32">
        <f>ABS('Cash Flow'!D25)/'Income Statement'!D7</f>
        <v>4.0365433019483546E-2</v>
      </c>
      <c r="E32" s="32">
        <f>ABS('Cash Flow'!E25)/'Income Statement'!E7</f>
        <v>3.5788892830396907E-2</v>
      </c>
      <c r="F32" s="32">
        <f>ABS('Cash Flow'!F25)/'Income Statement'!F7</f>
        <v>2.5655934297550694E-2</v>
      </c>
      <c r="G32" s="32">
        <f>ABS('Cash Flow'!G25)/'Income Statement'!G7</f>
        <v>2.0019482046286653E-2</v>
      </c>
      <c r="H32" s="32">
        <f>ABS('Cash Flow'!H25)/'Income Statement'!H7</f>
        <v>1.6227946032644588E-2</v>
      </c>
      <c r="I32" s="32">
        <f>ABS('Cash Flow'!I25)/'Income Statement'!I7</f>
        <v>1.5223682623899674E-2</v>
      </c>
      <c r="J32" s="69">
        <f>ABS('Cash Flow'!J25)/'Income Statement'!J7</f>
        <v>2.6338893766461809E-2</v>
      </c>
      <c r="K32" s="69">
        <f>ABS('Cash Flow'!K25)/'Income Statement'!K7</f>
        <v>2.3916713562183455E-2</v>
      </c>
      <c r="L32" s="69">
        <f>ABS('Cash Flow'!L25)/'Income Statement'!L7</f>
        <v>2.1436227224008574E-2</v>
      </c>
      <c r="M32" s="19" t="s">
        <v>364</v>
      </c>
    </row>
    <row r="35" spans="2:13" x14ac:dyDescent="0.25">
      <c r="B35" s="157" t="s">
        <v>365</v>
      </c>
      <c r="C35" s="154"/>
      <c r="D35" s="154"/>
      <c r="E35" s="154"/>
      <c r="F35" s="154"/>
      <c r="G35" s="154"/>
      <c r="H35" s="154"/>
      <c r="I35" s="154"/>
      <c r="J35" s="154"/>
      <c r="K35" s="154"/>
      <c r="L35" s="154"/>
      <c r="M35" s="26"/>
    </row>
    <row r="36" spans="2:13" x14ac:dyDescent="0.25">
      <c r="B36" s="12" t="s">
        <v>366</v>
      </c>
      <c r="D36" s="70">
        <f>('Income Statement'!D7-'Income Statement'!C7)/'Income Statement'!C7</f>
        <v>0.2071798334458699</v>
      </c>
      <c r="E36" s="70">
        <f>('Income Statement'!E7-'Income Statement'!D7)/'Income Statement'!D7</f>
        <v>0.18257667567819522</v>
      </c>
      <c r="F36" s="70">
        <f>('Income Statement'!F7-'Income Statement'!E7)/'Income Statement'!E7</f>
        <v>8.462417721020063E-2</v>
      </c>
      <c r="G36" s="70">
        <f>('Income Statement'!G7-'Income Statement'!F7)/'Income Statement'!F7</f>
        <v>8.1873682680427357E-2</v>
      </c>
      <c r="H36" s="70">
        <f>('Income Statement'!H7-'Income Statement'!G7)/'Income Statement'!G7</f>
        <v>6.8052803063383835E-2</v>
      </c>
      <c r="I36" s="70">
        <f>('Income Statement'!I7-'Income Statement'!H7)/'Income Statement'!H7</f>
        <v>4.32430732459037E-2</v>
      </c>
      <c r="J36" s="71">
        <f>('Income Statement'!J7-'Income Statement'!I7)/'Income Statement'!I7</f>
        <v>3.0085614373568069E-2</v>
      </c>
      <c r="K36" s="71">
        <f>('Income Statement'!K7-'Income Statement'!J7)/'Income Statement'!J7</f>
        <v>4.009364940005853E-2</v>
      </c>
      <c r="L36" s="71">
        <f>('Income Statement'!L7-'Income Statement'!K7)/'Income Statement'!K7</f>
        <v>5.0084411930219473E-2</v>
      </c>
      <c r="M36" s="19" t="s">
        <v>367</v>
      </c>
    </row>
    <row r="37" spans="2:13" x14ac:dyDescent="0.25">
      <c r="B37" s="23" t="s">
        <v>368</v>
      </c>
      <c r="D37" s="32">
        <f>('Income Statement'!D39-'Income Statement'!C39)/ABS('Income Statement'!C39)</f>
        <v>0.70882472549816999</v>
      </c>
      <c r="E37" s="32">
        <f>('Income Statement'!E39-'Income Statement'!D39)/ABS('Income Statement'!D39)</f>
        <v>-7.8534031413612562E-3</v>
      </c>
      <c r="F37" s="32">
        <f>('Income Statement'!F39-'Income Statement'!E39)/ABS('Income Statement'!E39)</f>
        <v>-0.41976493163828255</v>
      </c>
      <c r="G37" s="32">
        <f>('Income Statement'!G39-'Income Statement'!F39)/ABS('Income Statement'!F39)</f>
        <v>0.75527077304671353</v>
      </c>
      <c r="H37" s="32">
        <f>('Income Statement'!H39-'Income Statement'!G39)/ABS('Income Statement'!G39)</f>
        <v>7.7013659915214319E-2</v>
      </c>
      <c r="I37" s="32">
        <f>('Income Statement'!I39-'Income Statement'!H39)/ABS('Income Statement'!H39)</f>
        <v>-5.7511480428602671E-2</v>
      </c>
      <c r="J37" s="69">
        <f>('Income Statement'!J39-'Income Statement'!I39)/ABS('Income Statement'!I39)</f>
        <v>-2.2487238979117925E-2</v>
      </c>
      <c r="K37" s="69">
        <f>('Income Statement'!K39-'Income Statement'!J39)/ABS('Income Statement'!J39)</f>
        <v>8.6714707529882501E-2</v>
      </c>
      <c r="L37" s="69">
        <f>('Income Statement'!L39-'Income Statement'!K39)/ABS('Income Statement'!K39)</f>
        <v>9.2849579417859873E-2</v>
      </c>
      <c r="M37" s="19" t="s">
        <v>369</v>
      </c>
    </row>
    <row r="38" spans="2:13" x14ac:dyDescent="0.25">
      <c r="B38" s="12" t="s">
        <v>370</v>
      </c>
      <c r="D38" s="70">
        <f>('Income Statement'!D46-'Income Statement'!C46)/ABS('Income Statement'!C46)</f>
        <v>0.71014492753623204</v>
      </c>
      <c r="E38" s="70">
        <f>('Income Statement'!E46-'Income Statement'!D46)/ABS('Income Statement'!D46)</f>
        <v>-5.649717514124299E-3</v>
      </c>
      <c r="F38" s="70">
        <f>('Income Statement'!F46-'Income Statement'!E46)/ABS('Income Statement'!E46)</f>
        <v>-0.40625000000000006</v>
      </c>
      <c r="G38" s="70">
        <f>('Income Statement'!G46-'Income Statement'!F46)/ABS('Income Statement'!F46)</f>
        <v>0.83732057416267947</v>
      </c>
      <c r="H38" s="70">
        <f>('Income Statement'!H46-'Income Statement'!G46)/ABS('Income Statement'!G46)</f>
        <v>0.13020833333333334</v>
      </c>
      <c r="I38" s="70">
        <f>('Income Statement'!I46-'Income Statement'!H46)/ABS('Income Statement'!H46)</f>
        <v>5.5299539170506964E-2</v>
      </c>
      <c r="J38" s="71">
        <f>('Income Statement'!J46-'Income Statement'!I46)/ABS('Income Statement'!I46)</f>
        <v>-2.1397379912663338E-2</v>
      </c>
      <c r="K38" s="71">
        <f>('Income Statement'!K46-'Income Statement'!J46)/ABS('Income Statement'!J46)</f>
        <v>0.1477660955933591</v>
      </c>
      <c r="L38" s="71">
        <f>('Income Statement'!L46-'Income Statement'!K46)/ABS('Income Statement'!K46)</f>
        <v>0.15790014962130391</v>
      </c>
      <c r="M38" s="19" t="s">
        <v>371</v>
      </c>
    </row>
  </sheetData>
  <mergeCells count="7">
    <mergeCell ref="B1:L1"/>
    <mergeCell ref="B35:L35"/>
    <mergeCell ref="B6:L6"/>
    <mergeCell ref="B30:L30"/>
    <mergeCell ref="B24:L24"/>
    <mergeCell ref="B20:L20"/>
    <mergeCell ref="B14:L1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C3545"/>
  </sheetPr>
  <dimension ref="B1:H54"/>
  <sheetViews>
    <sheetView workbookViewId="0">
      <pane xSplit="1" ySplit="3" topLeftCell="B4" activePane="bottomRight" state="frozen"/>
      <selection pane="topRight"/>
      <selection pane="bottomLeft"/>
      <selection pane="bottomRight"/>
    </sheetView>
  </sheetViews>
  <sheetFormatPr baseColWidth="10" defaultColWidth="9.140625" defaultRowHeight="15" x14ac:dyDescent="0.25"/>
  <cols>
    <col min="1" max="1" width="2" customWidth="1"/>
    <col min="2" max="2" width="35" customWidth="1"/>
    <col min="3" max="9" width="18" customWidth="1"/>
    <col min="10" max="10" width="30" customWidth="1"/>
  </cols>
  <sheetData>
    <row r="1" spans="2:5" ht="18" x14ac:dyDescent="0.25">
      <c r="B1" s="155" t="s">
        <v>372</v>
      </c>
      <c r="C1" s="146"/>
      <c r="D1" s="146"/>
      <c r="E1" s="146"/>
    </row>
    <row r="2" spans="2:5" x14ac:dyDescent="0.25">
      <c r="B2" s="19" t="s">
        <v>373</v>
      </c>
    </row>
    <row r="4" spans="2:5" x14ac:dyDescent="0.25">
      <c r="B4" s="157" t="s">
        <v>374</v>
      </c>
      <c r="C4" s="154"/>
      <c r="D4" s="154"/>
      <c r="E4" s="26"/>
    </row>
    <row r="5" spans="2:5" x14ac:dyDescent="0.25">
      <c r="B5" s="23" t="s">
        <v>375</v>
      </c>
      <c r="C5" s="73">
        <v>4.2000000000000003E-2</v>
      </c>
      <c r="D5" s="19" t="s">
        <v>376</v>
      </c>
    </row>
    <row r="6" spans="2:5" x14ac:dyDescent="0.25">
      <c r="B6" s="23" t="s">
        <v>377</v>
      </c>
      <c r="C6" s="73">
        <v>5.5E-2</v>
      </c>
      <c r="D6" s="19" t="s">
        <v>378</v>
      </c>
    </row>
    <row r="7" spans="2:5" x14ac:dyDescent="0.25">
      <c r="B7" s="23" t="s">
        <v>379</v>
      </c>
      <c r="C7" s="74">
        <v>1.4</v>
      </c>
      <c r="D7" s="19" t="s">
        <v>380</v>
      </c>
    </row>
    <row r="8" spans="2:5" x14ac:dyDescent="0.25">
      <c r="B8" s="23" t="s">
        <v>381</v>
      </c>
      <c r="C8" s="75">
        <f>C5+C7*C6</f>
        <v>0.11899999999999999</v>
      </c>
      <c r="D8" s="19" t="s">
        <v>382</v>
      </c>
    </row>
    <row r="10" spans="2:5" x14ac:dyDescent="0.25">
      <c r="B10" s="23" t="s">
        <v>383</v>
      </c>
      <c r="C10" s="73">
        <v>4.2000000000000003E-2</v>
      </c>
      <c r="D10" s="19" t="s">
        <v>384</v>
      </c>
    </row>
    <row r="11" spans="2:5" x14ac:dyDescent="0.25">
      <c r="B11" s="23" t="s">
        <v>385</v>
      </c>
      <c r="C11" s="73">
        <v>0.17499999999999999</v>
      </c>
      <c r="D11" s="19" t="s">
        <v>386</v>
      </c>
    </row>
    <row r="12" spans="2:5" x14ac:dyDescent="0.25">
      <c r="B12" s="23" t="s">
        <v>387</v>
      </c>
      <c r="C12" s="75">
        <f>C10*(1-C11)</f>
        <v>3.465E-2</v>
      </c>
      <c r="D12" s="19" t="s">
        <v>388</v>
      </c>
    </row>
    <row r="14" spans="2:5" x14ac:dyDescent="0.25">
      <c r="B14" s="23" t="s">
        <v>389</v>
      </c>
      <c r="C14" s="73">
        <v>0.3</v>
      </c>
      <c r="D14" s="19" t="s">
        <v>390</v>
      </c>
    </row>
    <row r="15" spans="2:5" x14ac:dyDescent="0.25">
      <c r="B15" s="23" t="s">
        <v>391</v>
      </c>
      <c r="C15" s="73">
        <v>0.7</v>
      </c>
      <c r="D15" s="19" t="s">
        <v>392</v>
      </c>
    </row>
    <row r="17" spans="2:7" ht="15.75" x14ac:dyDescent="0.25">
      <c r="B17" s="23" t="s">
        <v>393</v>
      </c>
      <c r="C17" s="76">
        <f>C15*C8+C14*C10*(1-C11)</f>
        <v>9.3694999999999987E-2</v>
      </c>
      <c r="D17" s="19" t="s">
        <v>394</v>
      </c>
    </row>
    <row r="20" spans="2:7" x14ac:dyDescent="0.25">
      <c r="B20" s="157" t="s">
        <v>395</v>
      </c>
      <c r="C20" s="154"/>
      <c r="D20" s="154"/>
      <c r="E20" s="154"/>
      <c r="F20" s="154"/>
    </row>
    <row r="21" spans="2:7" x14ac:dyDescent="0.25">
      <c r="B21" s="77"/>
      <c r="C21" s="77" t="s">
        <v>66</v>
      </c>
      <c r="D21" s="77" t="s">
        <v>67</v>
      </c>
      <c r="E21" s="77" t="s">
        <v>68</v>
      </c>
      <c r="F21" s="77" t="s">
        <v>396</v>
      </c>
    </row>
    <row r="22" spans="2:7" x14ac:dyDescent="0.25">
      <c r="B22" s="12" t="s">
        <v>132</v>
      </c>
      <c r="C22" s="78">
        <f>'Cash Flow'!J49</f>
        <v>5896.3586361992038</v>
      </c>
      <c r="D22" s="78">
        <f>'Cash Flow'!K49</f>
        <v>6745.7488186301698</v>
      </c>
      <c r="E22" s="78">
        <f>'Cash Flow'!L49</f>
        <v>7710.7652615997868</v>
      </c>
    </row>
    <row r="23" spans="2:7" x14ac:dyDescent="0.25">
      <c r="B23" s="23" t="s">
        <v>397</v>
      </c>
      <c r="C23" s="73">
        <v>1.4999999999999999E-2</v>
      </c>
      <c r="D23" s="19" t="s">
        <v>398</v>
      </c>
    </row>
    <row r="24" spans="2:7" x14ac:dyDescent="0.25">
      <c r="B24" s="12" t="s">
        <v>399</v>
      </c>
      <c r="F24" s="59">
        <f>E22*(1+C23)/(C17-C23)</f>
        <v>99452.65570269755</v>
      </c>
      <c r="G24" s="19" t="s">
        <v>400</v>
      </c>
    </row>
    <row r="26" spans="2:7" x14ac:dyDescent="0.25">
      <c r="B26" s="23" t="s">
        <v>401</v>
      </c>
      <c r="C26" s="79">
        <f>1/(1+C17)^1</f>
        <v>0.91433169210794596</v>
      </c>
      <c r="D26" s="79">
        <f>1/(1+C17)^2</f>
        <v>0.83600244319297956</v>
      </c>
      <c r="E26" s="79">
        <f>1/(1+C17)^3</f>
        <v>0.76438352849101399</v>
      </c>
      <c r="F26" s="79">
        <f>1/(1+C17)^3</f>
        <v>0.76438352849101399</v>
      </c>
    </row>
    <row r="27" spans="2:7" x14ac:dyDescent="0.25">
      <c r="B27" s="12" t="s">
        <v>402</v>
      </c>
      <c r="C27" s="80">
        <f>C22*C26</f>
        <v>5391.2275691113182</v>
      </c>
      <c r="D27" s="80">
        <f>D22*D26</f>
        <v>5639.4624935409774</v>
      </c>
      <c r="E27" s="80">
        <f>E22*E26</f>
        <v>5893.9819580275816</v>
      </c>
      <c r="F27" s="59">
        <f>F24*F26</f>
        <v>76019.971883829916</v>
      </c>
    </row>
    <row r="29" spans="2:7" x14ac:dyDescent="0.25">
      <c r="B29" s="157" t="s">
        <v>403</v>
      </c>
      <c r="C29" s="154"/>
      <c r="D29" s="154"/>
      <c r="E29" s="26"/>
    </row>
    <row r="30" spans="2:7" x14ac:dyDescent="0.25">
      <c r="B30" s="23" t="s">
        <v>404</v>
      </c>
      <c r="C30" s="81">
        <f>SUM(C27:E27)</f>
        <v>16924.672020679878</v>
      </c>
    </row>
    <row r="31" spans="2:7" x14ac:dyDescent="0.25">
      <c r="B31" s="23" t="s">
        <v>405</v>
      </c>
      <c r="C31" s="81">
        <f>F27</f>
        <v>76019.971883829916</v>
      </c>
    </row>
    <row r="32" spans="2:7" x14ac:dyDescent="0.25">
      <c r="B32" s="12" t="s">
        <v>406</v>
      </c>
      <c r="C32" s="82">
        <f>C30+C31</f>
        <v>92944.643904509794</v>
      </c>
    </row>
    <row r="33" spans="2:8" x14ac:dyDescent="0.25">
      <c r="B33" s="19" t="s">
        <v>407</v>
      </c>
      <c r="C33" s="83">
        <f>C31/C32</f>
        <v>0.81790589204830266</v>
      </c>
      <c r="D33" s="19" t="s">
        <v>408</v>
      </c>
    </row>
    <row r="35" spans="2:8" x14ac:dyDescent="0.25">
      <c r="B35" s="23" t="s">
        <v>409</v>
      </c>
      <c r="C35" s="80">
        <f>'Balance Sheet'!I33-'Balance Sheet'!I7</f>
        <v>1938</v>
      </c>
      <c r="D35" s="19" t="s">
        <v>410</v>
      </c>
    </row>
    <row r="36" spans="2:8" ht="15.75" x14ac:dyDescent="0.25">
      <c r="B36" s="84" t="s">
        <v>411</v>
      </c>
      <c r="C36" s="85">
        <f>C32-C35</f>
        <v>91006.643904509794</v>
      </c>
    </row>
    <row r="38" spans="2:8" x14ac:dyDescent="0.25">
      <c r="B38" s="23" t="s">
        <v>175</v>
      </c>
      <c r="C38" s="86">
        <f>'Income Statement'!I45</f>
        <v>941</v>
      </c>
      <c r="D38" s="19" t="s">
        <v>412</v>
      </c>
    </row>
    <row r="39" spans="2:8" ht="23.25" x14ac:dyDescent="0.25">
      <c r="B39" s="42" t="s">
        <v>413</v>
      </c>
      <c r="C39" s="87">
        <f>C36/C38</f>
        <v>96.712692778437614</v>
      </c>
    </row>
    <row r="42" spans="2:8" x14ac:dyDescent="0.25">
      <c r="B42" s="157" t="s">
        <v>414</v>
      </c>
      <c r="C42" s="154"/>
      <c r="D42" s="154"/>
      <c r="E42" s="154"/>
      <c r="F42" s="154"/>
      <c r="G42" s="154"/>
      <c r="H42" s="154"/>
    </row>
    <row r="43" spans="2:8" x14ac:dyDescent="0.25">
      <c r="B43" s="19" t="s">
        <v>415</v>
      </c>
    </row>
    <row r="44" spans="2:8" x14ac:dyDescent="0.25">
      <c r="B44" s="88" t="s">
        <v>416</v>
      </c>
      <c r="C44" s="89">
        <f>C23+-0.01</f>
        <v>4.9999999999999992E-3</v>
      </c>
      <c r="D44" s="89">
        <f>C23+-0.005</f>
        <v>9.9999999999999985E-3</v>
      </c>
      <c r="E44" s="89">
        <f>C23+0</f>
        <v>1.4999999999999999E-2</v>
      </c>
      <c r="F44" s="89">
        <f>C23+0.005</f>
        <v>0.02</v>
      </c>
      <c r="G44" s="89">
        <f>C23+0.01</f>
        <v>2.5000000000000001E-2</v>
      </c>
    </row>
    <row r="45" spans="2:8" x14ac:dyDescent="0.25">
      <c r="B45" s="89">
        <f>C17+-0.02</f>
        <v>7.3694999999999983E-2</v>
      </c>
      <c r="C45" s="90">
        <f>(C22/(1+$B45)^1+D22/(1+$B45)^2+E22/(1+$B45)^3+E22*(1+C$44)/($B45-C$44)/(1+$B45)^3-C35)/C38</f>
        <v>113.46639271976997</v>
      </c>
      <c r="D45" s="90">
        <f>(C22/(1+$B45)^1+D22/(1+$B45)^2+E22/(1+$B45)^3+E22*(1+D$44)/($B45-D$44)/(1+$B45)^3-C35)/C38</f>
        <v>121.5888143898284</v>
      </c>
      <c r="E45" s="90">
        <f>(C22/(1+$B45)^1+D22/(1+$B45)^2+E22/(1+$B45)^3+E22*(1+E$44)/($B45-E$44)/(1+$B45)^3-C35)/C38</f>
        <v>131.09507142406747</v>
      </c>
      <c r="F45" s="90">
        <f>(C22/(1+$B45)^1+D22/(1+$B45)^2+E22/(1+$B45)^3+E22*(1+F$44)/($B45-F$44)/(1+$B45)^3-C35)/C38</f>
        <v>142.37174600821609</v>
      </c>
      <c r="G45" s="90">
        <f>(C22/(1+$B45)^1+D22/(1+$B45)^2+E22/(1+$B45)^3+E22*(1+G$44)/($B45-G$44)/(1+$B45)^3-C35)/C38</f>
        <v>155.96419728076157</v>
      </c>
    </row>
    <row r="46" spans="2:8" x14ac:dyDescent="0.25">
      <c r="B46" s="89">
        <f>C17+-0.01</f>
        <v>8.3694999999999992E-2</v>
      </c>
      <c r="C46" s="90">
        <f>(C22/(1+$B46)^1+D22/(1+$B46)^2+E22/(1+$B46)^3+E22*(1+C$44)/($B46-C$44)/(1+$B46)^3-C35)/C38</f>
        <v>98.490625921244146</v>
      </c>
      <c r="D46" s="90">
        <f>(C22/(1+$B46)^1+D22/(1+$B46)^2+E22/(1+$B46)^3+E22*(1+D$44)/($B46-D$44)/(1+$B46)^3-C35)/C38</f>
        <v>104.50622052277862</v>
      </c>
      <c r="E46" s="90">
        <f>(C22/(1+$B46)^1+D22/(1+$B46)^2+E22/(1+$B46)^3+E22*(1+E$44)/($B46-E$44)/(1+$B46)^3-C35)/C38</f>
        <v>111.39751125962634</v>
      </c>
      <c r="F46" s="90">
        <f>(C22/(1+$B46)^1+D22/(1+$B46)^2+E22/(1+$B46)^3+E22*(1+F$44)/($B46-F$44)/(1+$B46)^3-C35)/C38</f>
        <v>119.37072220007683</v>
      </c>
      <c r="G46" s="90">
        <f>(C22/(1+$B46)^1+D22/(1+$B46)^2+E22/(1+$B46)^3+E22*(1+G$44)/($B46-G$44)/(1+$B46)^3-C35)/C38</f>
        <v>128.70234713498178</v>
      </c>
    </row>
    <row r="47" spans="2:8" x14ac:dyDescent="0.25">
      <c r="B47" s="89">
        <f>C17+-0.005</f>
        <v>8.8694999999999982E-2</v>
      </c>
      <c r="C47" s="90">
        <f>(C22/(1+$B47)^1+D22/(1+$B47)^2+E22/(1+$B47)^3+E22*(1+C$44)/($B47-C$44)/(1+$B47)^3-C35)/C38</f>
        <v>92.347294797946546</v>
      </c>
      <c r="D47" s="90">
        <f>(C22/(1+$B47)^1+D22/(1+$B47)^2+E22/(1+$B47)^3+E22*(1+D$44)/($B47-D$44)/(1+$B47)^3-C35)/C38</f>
        <v>97.595596017967608</v>
      </c>
      <c r="E47" s="90">
        <f>(C22/(1+$B47)^1+D22/(1+$B47)^2+E22/(1+$B47)^3+E22*(1+E$44)/($B47-E$44)/(1+$B47)^3-C35)/C38</f>
        <v>103.55606240794877</v>
      </c>
      <c r="F47" s="90">
        <f>(C22/(1+$B47)^1+D22/(1+$B47)^2+E22/(1+$B47)^3+E22*(1+F$44)/($B47-F$44)/(1+$B47)^3-C35)/C38</f>
        <v>110.38419986423483</v>
      </c>
      <c r="G47" s="90">
        <f>(C22/(1+$B47)^1+D22/(1+$B47)^2+E22/(1+$B47)^3+E22*(1+G$44)/($B47-G$44)/(1+$B47)^3-C35)/C38</f>
        <v>118.28434257309735</v>
      </c>
    </row>
    <row r="48" spans="2:8" x14ac:dyDescent="0.25">
      <c r="B48" s="89">
        <f>C17+0</f>
        <v>9.3694999999999987E-2</v>
      </c>
      <c r="C48" s="90">
        <f>(C22/(1+$B48)^1+D22/(1+$B48)^2+E22/(1+$B48)^3+E22*(1+C$44)/($B48-C$44)/(1+$B48)^3-C35)/C38</f>
        <v>86.898171349629521</v>
      </c>
      <c r="D48" s="90">
        <f>(C22/(1+$B48)^1+D22/(1+$B48)^2+E22/(1+$B48)^3+E22*(1+D$44)/($B48-D$44)/(1+$B48)^3-C35)/C38</f>
        <v>91.51226874995244</v>
      </c>
      <c r="E48" s="91">
        <f>(C22/(1+$B48)^1+D22/(1+$B48)^2+E22/(1+$B48)^3+E22*(1+E$44)/($B48-E$44)/(1+$B48)^3-C35)/C38</f>
        <v>96.712692778437614</v>
      </c>
      <c r="F48" s="90">
        <f>(C22/(1+$B48)^1+D22/(1+$B48)^2+E22/(1+$B48)^3+E22*(1+F$44)/($B48-F$44)/(1+$B48)^3-C35)/C38</f>
        <v>102.61878530932937</v>
      </c>
      <c r="G48" s="90">
        <f>(C22/(1+$B48)^1+D22/(1+$B48)^2+E22/(1+$B48)^3+E22*(1+G$44)/($B48-G$44)/(1+$B48)^3-C35)/C38</f>
        <v>109.3846336493618</v>
      </c>
    </row>
    <row r="49" spans="2:7" x14ac:dyDescent="0.25">
      <c r="B49" s="89">
        <f>C17+0.005</f>
        <v>9.8694999999999991E-2</v>
      </c>
      <c r="C49" s="90">
        <f>(C22/(1+$B49)^1+D22/(1+$B49)^2+E22/(1+$B49)^3+E22*(1+C$44)/($B49-C$44)/(1+$B49)^3-C35)/C38</f>
        <v>82.032091743123374</v>
      </c>
      <c r="D49" s="90">
        <f>(C22/(1+$B49)^1+D22/(1+$B49)^2+E22/(1+$B49)^3+E22*(1+D$44)/($B49-D$44)/(1+$B49)^3-C35)/C38</f>
        <v>86.116301262388049</v>
      </c>
      <c r="E49" s="90">
        <f>(C22/(1+$B49)^1+D22/(1+$B49)^2+E22/(1+$B49)^3+E22*(1+E$44)/($B49-E$44)/(1+$B49)^3-C35)/C38</f>
        <v>90.688498059180034</v>
      </c>
      <c r="F49" s="90">
        <f>(C22/(1+$B49)^1+D22/(1+$B49)^2+E22/(1+$B49)^3+E22*(1+F$44)/($B49-F$44)/(1+$B49)^3-C35)/C38</f>
        <v>95.841697053925131</v>
      </c>
      <c r="G49" s="90">
        <f>(C22/(1+$B49)^1+D22/(1+$B49)^2+E22/(1+$B49)^3+E22*(1+G$44)/($B49-G$44)/(1+$B49)^3-C35)/C38</f>
        <v>101.69415637769461</v>
      </c>
    </row>
    <row r="50" spans="2:7" x14ac:dyDescent="0.25">
      <c r="B50" s="89">
        <f>C17+0.01</f>
        <v>0.10369499999999998</v>
      </c>
      <c r="C50" s="90">
        <f>(C22/(1+$B50)^1+D22/(1+$B50)^2+E22/(1+$B50)^3+E22*(1+C$44)/($B50-C$44)/(1+$B50)^3-C35)/C38</f>
        <v>77.660419409976811</v>
      </c>
      <c r="D50" s="90">
        <f>(C22/(1+$B50)^1+D22/(1+$B50)^2+E22/(1+$B50)^3+E22*(1+D$44)/($B50-D$44)/(1+$B50)^3-C35)/C38</f>
        <v>81.297627479297788</v>
      </c>
      <c r="E50" s="90">
        <f>(C22/(1+$B50)^1+D22/(1+$B50)^2+E22/(1+$B50)^3+E22*(1+E$44)/($B50-E$44)/(1+$B50)^3-C35)/C38</f>
        <v>85.344915944280373</v>
      </c>
      <c r="F50" s="90">
        <f>(C22/(1+$B50)^1+D22/(1+$B50)^2+E22/(1+$B50)^3+E22*(1+F$44)/($B50-F$44)/(1+$B50)^3-C35)/C38</f>
        <v>89.875780305670503</v>
      </c>
      <c r="G50" s="90">
        <f>(C22/(1+$B50)^1+D22/(1+$B50)^2+E22/(1+$B50)^3+E22*(1+G$44)/($B50-G$44)/(1+$B50)^3-C35)/C38</f>
        <v>94.982394633562905</v>
      </c>
    </row>
    <row r="51" spans="2:7" x14ac:dyDescent="0.25">
      <c r="B51" s="89">
        <f>C17+0.02</f>
        <v>0.11369499999999999</v>
      </c>
      <c r="C51" s="90">
        <f>(C22/(1+$B51)^1+D22/(1+$B51)^2+E22/(1+$B51)^3+E22*(1+C$44)/($B51-C$44)/(1+$B51)^3-C35)/C38</f>
        <v>70.127298727058616</v>
      </c>
      <c r="D51" s="90">
        <f>(C22/(1+$B51)^1+D22/(1+$B51)^2+E22/(1+$B51)^3+E22*(1+D$44)/($B51-D$44)/(1+$B51)^3-C35)/C38</f>
        <v>73.058043104429842</v>
      </c>
      <c r="E51" s="90">
        <f>(C22/(1+$B51)^1+D22/(1+$B51)^2+E22/(1+$B51)^3+E22*(1+E$44)/($B51-E$44)/(1+$B51)^3-C35)/C38</f>
        <v>76.285737112215102</v>
      </c>
      <c r="F51" s="90">
        <f>(C22/(1+$B51)^1+D22/(1+$B51)^2+E22/(1+$B51)^3+E22*(1+F$44)/($B51-F$44)/(1+$B51)^3-C35)/C38</f>
        <v>79.857920581314772</v>
      </c>
      <c r="G51" s="90">
        <f>(C22/(1+$B51)^1+D22/(1+$B51)^2+E22/(1+$B51)^3+E22*(1+G$44)/($B51-G$44)/(1+$B51)^3-C35)/C38</f>
        <v>83.832853187242833</v>
      </c>
    </row>
    <row r="53" spans="2:7" x14ac:dyDescent="0.25">
      <c r="B53" s="19" t="s">
        <v>417</v>
      </c>
    </row>
    <row r="54" spans="2:7" x14ac:dyDescent="0.25">
      <c r="B54" s="19" t="s">
        <v>418</v>
      </c>
    </row>
  </sheetData>
  <mergeCells count="5">
    <mergeCell ref="B1:E1"/>
    <mergeCell ref="B20:F20"/>
    <mergeCell ref="B4:D4"/>
    <mergeCell ref="B42:H42"/>
    <mergeCell ref="B29:D2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6B35"/>
  </sheetPr>
  <dimension ref="B1:E51"/>
  <sheetViews>
    <sheetView workbookViewId="0">
      <pane xSplit="1" ySplit="3" topLeftCell="B4" activePane="bottomRight" state="frozen"/>
      <selection pane="topRight"/>
      <selection pane="bottomLeft"/>
      <selection pane="bottomRight" activeCell="E32" sqref="E32"/>
    </sheetView>
  </sheetViews>
  <sheetFormatPr baseColWidth="10" defaultColWidth="9.140625" defaultRowHeight="15" x14ac:dyDescent="0.25"/>
  <cols>
    <col min="1" max="1" width="2" customWidth="1"/>
    <col min="2" max="2" width="30" customWidth="1"/>
    <col min="3" max="5" width="18" customWidth="1"/>
    <col min="6" max="6" width="5" customWidth="1"/>
    <col min="7" max="7" width="25" customWidth="1"/>
    <col min="8" max="8" width="18" customWidth="1"/>
  </cols>
  <sheetData>
    <row r="1" spans="2:5" ht="18" x14ac:dyDescent="0.25">
      <c r="B1" s="155" t="s">
        <v>419</v>
      </c>
      <c r="C1" s="146"/>
      <c r="D1" s="146"/>
      <c r="E1" s="146"/>
    </row>
    <row r="2" spans="2:5" x14ac:dyDescent="0.25">
      <c r="B2" s="19" t="s">
        <v>420</v>
      </c>
    </row>
    <row r="4" spans="2:5" x14ac:dyDescent="0.25">
      <c r="B4" s="77"/>
      <c r="C4" s="92" t="s">
        <v>421</v>
      </c>
      <c r="D4" s="93" t="s">
        <v>422</v>
      </c>
      <c r="E4" s="94" t="s">
        <v>423</v>
      </c>
    </row>
    <row r="5" spans="2:5" ht="45" customHeight="1" x14ac:dyDescent="0.25">
      <c r="B5" s="12" t="s">
        <v>424</v>
      </c>
      <c r="C5" s="95" t="s">
        <v>425</v>
      </c>
      <c r="D5" s="96" t="s">
        <v>426</v>
      </c>
      <c r="E5" s="97" t="s">
        <v>427</v>
      </c>
    </row>
    <row r="7" spans="2:5" x14ac:dyDescent="0.25">
      <c r="B7" s="157" t="s">
        <v>428</v>
      </c>
      <c r="C7" s="158"/>
      <c r="D7" s="158"/>
      <c r="E7" s="158"/>
    </row>
    <row r="8" spans="2:5" x14ac:dyDescent="0.25">
      <c r="B8" s="98" t="s">
        <v>429</v>
      </c>
      <c r="C8" s="99" t="s">
        <v>430</v>
      </c>
      <c r="D8" s="100" t="s">
        <v>431</v>
      </c>
      <c r="E8" s="101" t="s">
        <v>432</v>
      </c>
    </row>
    <row r="9" spans="2:5" x14ac:dyDescent="0.25">
      <c r="B9" s="98" t="s">
        <v>433</v>
      </c>
      <c r="C9" s="102">
        <v>38500</v>
      </c>
      <c r="D9" s="103">
        <v>37320</v>
      </c>
      <c r="E9" s="104">
        <v>34800</v>
      </c>
    </row>
    <row r="10" spans="2:5" x14ac:dyDescent="0.25">
      <c r="B10" s="98" t="s">
        <v>434</v>
      </c>
      <c r="C10" s="99" t="s">
        <v>435</v>
      </c>
      <c r="D10" s="100" t="s">
        <v>436</v>
      </c>
      <c r="E10" s="101" t="s">
        <v>437</v>
      </c>
    </row>
    <row r="11" spans="2:5" x14ac:dyDescent="0.25">
      <c r="B11" s="98" t="s">
        <v>438</v>
      </c>
      <c r="C11" s="102">
        <v>6200</v>
      </c>
      <c r="D11" s="103">
        <v>4800</v>
      </c>
      <c r="E11" s="104">
        <v>3200</v>
      </c>
    </row>
    <row r="12" spans="2:5" x14ac:dyDescent="0.25">
      <c r="B12" s="98" t="s">
        <v>439</v>
      </c>
      <c r="C12" s="102">
        <v>8500</v>
      </c>
      <c r="D12" s="100" t="s">
        <v>440</v>
      </c>
      <c r="E12" s="104">
        <v>3500</v>
      </c>
    </row>
    <row r="13" spans="2:5" x14ac:dyDescent="0.25">
      <c r="B13" s="98" t="s">
        <v>441</v>
      </c>
      <c r="C13" s="102">
        <v>700</v>
      </c>
      <c r="D13" s="103">
        <v>850</v>
      </c>
      <c r="E13" s="104">
        <v>950</v>
      </c>
    </row>
    <row r="14" spans="2:5" x14ac:dyDescent="0.25">
      <c r="B14" s="98" t="s">
        <v>397</v>
      </c>
      <c r="C14" s="99" t="s">
        <v>442</v>
      </c>
      <c r="D14" s="100" t="s">
        <v>432</v>
      </c>
      <c r="E14" s="101" t="s">
        <v>443</v>
      </c>
    </row>
    <row r="15" spans="2:5" x14ac:dyDescent="0.25">
      <c r="B15" s="98" t="s">
        <v>393</v>
      </c>
      <c r="C15" s="99" t="s">
        <v>444</v>
      </c>
      <c r="D15" s="100" t="s">
        <v>445</v>
      </c>
      <c r="E15" s="101" t="s">
        <v>446</v>
      </c>
    </row>
    <row r="17" spans="2:5" x14ac:dyDescent="0.25">
      <c r="B17" s="157" t="s">
        <v>447</v>
      </c>
      <c r="C17" s="158"/>
      <c r="D17" s="158"/>
      <c r="E17" s="158"/>
    </row>
    <row r="18" spans="2:5" x14ac:dyDescent="0.25">
      <c r="B18" s="23" t="s">
        <v>448</v>
      </c>
      <c r="C18" s="105">
        <v>8500</v>
      </c>
      <c r="D18" s="106">
        <f>'Cash Flow'!L49</f>
        <v>7710.7652615997868</v>
      </c>
      <c r="E18" s="107">
        <v>3500</v>
      </c>
    </row>
    <row r="19" spans="2:5" x14ac:dyDescent="0.25">
      <c r="B19" s="23" t="s">
        <v>399</v>
      </c>
      <c r="C19" s="108">
        <f>C18*(1+0.025)/(0.085-0.025)</f>
        <v>145208.33333333331</v>
      </c>
      <c r="D19" s="109">
        <f>D18*(1+0.015)/(0.099-0.015)</f>
        <v>93171.746910997404</v>
      </c>
      <c r="E19" s="110">
        <f>E18*(1+0.01)/(0.115-0.01)</f>
        <v>33666.666666666664</v>
      </c>
    </row>
    <row r="20" spans="2:5" x14ac:dyDescent="0.25">
      <c r="B20" s="23" t="s">
        <v>405</v>
      </c>
      <c r="C20" s="108">
        <f>C19/(1+0.085)^3</f>
        <v>113684.78012629546</v>
      </c>
      <c r="D20" s="109">
        <f>D19/(1+0.099)^3</f>
        <v>70192.572791082959</v>
      </c>
      <c r="E20" s="110">
        <f>E19/(1+0.115)^3</f>
        <v>24287.091942664065</v>
      </c>
    </row>
    <row r="21" spans="2:5" x14ac:dyDescent="0.25">
      <c r="B21" s="23" t="s">
        <v>404</v>
      </c>
      <c r="C21" s="108">
        <f>6500/(1+0.085)^1+7500/(1+0.085)^2+C18/(1+0.085)^3</f>
        <v>19016.416897779505</v>
      </c>
      <c r="D21" s="106">
        <f>'Cash Flow'!J49/(1+0.099)^1+'Cash Flow'!K49/(1+0.099)^2+'Cash Flow'!L49/(1+0.099)^3</f>
        <v>16759.393222082872</v>
      </c>
      <c r="E21" s="110">
        <f>2500/(1+0.115)^1+3000/(1+0.115)^2+E18/(1+0.115)^3</f>
        <v>7180.1270509479755</v>
      </c>
    </row>
    <row r="22" spans="2:5" x14ac:dyDescent="0.25">
      <c r="B22" s="111" t="s">
        <v>406</v>
      </c>
      <c r="C22" s="112">
        <f>C21+C20</f>
        <v>132701.19702407497</v>
      </c>
      <c r="D22" s="113">
        <f>D21+D20</f>
        <v>86951.966013165831</v>
      </c>
      <c r="E22" s="114">
        <f>E21+E20</f>
        <v>31467.218993612041</v>
      </c>
    </row>
    <row r="23" spans="2:5" x14ac:dyDescent="0.25">
      <c r="B23" s="23" t="s">
        <v>449</v>
      </c>
      <c r="C23" s="115">
        <f>DCF!C35</f>
        <v>1938</v>
      </c>
      <c r="D23" s="116">
        <f>DCF!C35</f>
        <v>1938</v>
      </c>
      <c r="E23" s="117">
        <f>DCF!C35</f>
        <v>1938</v>
      </c>
    </row>
    <row r="24" spans="2:5" x14ac:dyDescent="0.25">
      <c r="B24" s="12" t="s">
        <v>411</v>
      </c>
      <c r="C24" s="108">
        <f>C22-C23</f>
        <v>130763.19702407497</v>
      </c>
      <c r="D24" s="109">
        <f>D22-D23</f>
        <v>85013.966013165831</v>
      </c>
      <c r="E24" s="110">
        <f>E22-E23</f>
        <v>29529.218993612041</v>
      </c>
    </row>
    <row r="25" spans="2:5" x14ac:dyDescent="0.25">
      <c r="B25" s="23" t="s">
        <v>450</v>
      </c>
      <c r="C25" s="118">
        <f>DCF!C38</f>
        <v>941</v>
      </c>
      <c r="D25" s="119">
        <f>DCF!C38</f>
        <v>941</v>
      </c>
      <c r="E25" s="120">
        <f>DCF!C38</f>
        <v>941</v>
      </c>
    </row>
    <row r="27" spans="2:5" x14ac:dyDescent="0.25">
      <c r="B27" s="157" t="s">
        <v>451</v>
      </c>
      <c r="C27" s="158"/>
      <c r="D27" s="158"/>
      <c r="E27" s="158"/>
    </row>
    <row r="28" spans="2:5" ht="18" x14ac:dyDescent="0.25">
      <c r="B28" s="121" t="s">
        <v>413</v>
      </c>
      <c r="C28" s="122">
        <f>C24/C25</f>
        <v>138.96195220411792</v>
      </c>
      <c r="D28" s="123">
        <f>D24/D25</f>
        <v>90.344278441196423</v>
      </c>
      <c r="E28" s="124">
        <f>E24/E25</f>
        <v>31.380679058036176</v>
      </c>
    </row>
    <row r="30" spans="2:5" x14ac:dyDescent="0.25">
      <c r="B30" s="157" t="s">
        <v>452</v>
      </c>
      <c r="C30" s="158"/>
      <c r="D30" s="158"/>
      <c r="E30" s="158"/>
    </row>
    <row r="31" spans="2:5" x14ac:dyDescent="0.25">
      <c r="B31" s="23" t="s">
        <v>453</v>
      </c>
      <c r="C31" s="125">
        <v>0.15</v>
      </c>
      <c r="D31" s="125">
        <v>0.35</v>
      </c>
      <c r="E31" s="125">
        <v>0.5</v>
      </c>
    </row>
    <row r="32" spans="2:5" x14ac:dyDescent="0.25">
      <c r="B32" s="19" t="s">
        <v>454</v>
      </c>
      <c r="C32" s="126">
        <f>C31+D31+E31</f>
        <v>1</v>
      </c>
    </row>
    <row r="33" spans="2:5" x14ac:dyDescent="0.25">
      <c r="B33" s="23" t="s">
        <v>455</v>
      </c>
      <c r="C33" s="127">
        <f>C28*C31</f>
        <v>20.844292830617686</v>
      </c>
      <c r="D33" s="128">
        <f>D28*D31</f>
        <v>31.620497454418746</v>
      </c>
      <c r="E33" s="129">
        <f>E28*E31</f>
        <v>15.690339529018088</v>
      </c>
    </row>
    <row r="35" spans="2:5" ht="27.75" x14ac:dyDescent="0.25">
      <c r="B35" s="152" t="s">
        <v>456</v>
      </c>
      <c r="C35" s="159">
        <f>C33+D33+E33</f>
        <v>68.155129814054519</v>
      </c>
      <c r="D35" s="146"/>
      <c r="E35" s="146"/>
    </row>
    <row r="36" spans="2:5" x14ac:dyDescent="0.25">
      <c r="B36" s="146"/>
    </row>
    <row r="37" spans="2:5" x14ac:dyDescent="0.25">
      <c r="B37" s="12" t="s">
        <v>457</v>
      </c>
      <c r="C37" s="130">
        <v>40.42</v>
      </c>
      <c r="D37" s="19" t="s">
        <v>458</v>
      </c>
    </row>
    <row r="38" spans="2:5" ht="18" x14ac:dyDescent="0.25">
      <c r="B38" s="12" t="s">
        <v>459</v>
      </c>
      <c r="C38" s="131">
        <f>(C35/C37)-1</f>
        <v>0.68617342439521312</v>
      </c>
    </row>
    <row r="40" spans="2:5" x14ac:dyDescent="0.25">
      <c r="B40" s="157" t="s">
        <v>25</v>
      </c>
      <c r="C40" s="158"/>
      <c r="D40" s="158"/>
      <c r="E40" s="158"/>
    </row>
    <row r="41" spans="2:5" ht="20.25" x14ac:dyDescent="0.25">
      <c r="B41" s="121" t="s">
        <v>460</v>
      </c>
      <c r="C41" s="132" t="str">
        <f>IF(C38&gt;0.2,"BUY",IF(C38&gt;-0.1,"HOLD","SELL"))</f>
        <v>BUY</v>
      </c>
    </row>
    <row r="42" spans="2:5" x14ac:dyDescent="0.25">
      <c r="B42" s="19" t="s">
        <v>461</v>
      </c>
      <c r="C42" s="19" t="s">
        <v>462</v>
      </c>
    </row>
    <row r="44" spans="2:5" x14ac:dyDescent="0.25">
      <c r="B44" s="157" t="s">
        <v>463</v>
      </c>
      <c r="C44" s="158"/>
      <c r="D44" s="158"/>
      <c r="E44" s="158"/>
    </row>
    <row r="45" spans="2:5" x14ac:dyDescent="0.25">
      <c r="B45" s="133" t="s">
        <v>464</v>
      </c>
      <c r="C45" s="77" t="s">
        <v>465</v>
      </c>
    </row>
    <row r="46" spans="2:5" x14ac:dyDescent="0.25">
      <c r="B46" s="98" t="s">
        <v>466</v>
      </c>
      <c r="C46" s="134">
        <f>E28</f>
        <v>31.380679058036176</v>
      </c>
    </row>
    <row r="47" spans="2:5" x14ac:dyDescent="0.25">
      <c r="B47" s="98" t="s">
        <v>457</v>
      </c>
      <c r="C47" s="135">
        <f>C37</f>
        <v>40.42</v>
      </c>
    </row>
    <row r="48" spans="2:5" x14ac:dyDescent="0.25">
      <c r="B48" s="98" t="s">
        <v>467</v>
      </c>
      <c r="C48" s="136">
        <v>62.46</v>
      </c>
    </row>
    <row r="49" spans="2:3" x14ac:dyDescent="0.25">
      <c r="B49" s="98" t="s">
        <v>468</v>
      </c>
      <c r="C49" s="137">
        <f>C35</f>
        <v>68.155129814054519</v>
      </c>
    </row>
    <row r="50" spans="2:3" x14ac:dyDescent="0.25">
      <c r="B50" s="98" t="s">
        <v>469</v>
      </c>
      <c r="C50" s="138">
        <f>D28</f>
        <v>90.344278441196423</v>
      </c>
    </row>
    <row r="51" spans="2:3" x14ac:dyDescent="0.25">
      <c r="B51" s="98" t="s">
        <v>470</v>
      </c>
      <c r="C51" s="139">
        <f>C28</f>
        <v>138.96195220411792</v>
      </c>
    </row>
  </sheetData>
  <mergeCells count="9">
    <mergeCell ref="B1:E1"/>
    <mergeCell ref="B40:E40"/>
    <mergeCell ref="B30:E30"/>
    <mergeCell ref="B44:E44"/>
    <mergeCell ref="B7:E7"/>
    <mergeCell ref="C35:E35"/>
    <mergeCell ref="B35:B36"/>
    <mergeCell ref="B17:E17"/>
    <mergeCell ref="B27:E2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4057"/>
  </sheetPr>
  <dimension ref="B1:B59"/>
  <sheetViews>
    <sheetView workbookViewId="0">
      <pane xSplit="1" ySplit="2" topLeftCell="B3" activePane="bottomRight" state="frozen"/>
      <selection pane="topRight"/>
      <selection pane="bottomLeft"/>
      <selection pane="bottomRight"/>
    </sheetView>
  </sheetViews>
  <sheetFormatPr baseColWidth="10" defaultColWidth="9.140625" defaultRowHeight="15" x14ac:dyDescent="0.25"/>
  <cols>
    <col min="1" max="1" width="2" customWidth="1"/>
    <col min="2" max="2" width="85" customWidth="1"/>
    <col min="3" max="3" width="5" customWidth="1"/>
  </cols>
  <sheetData>
    <row r="1" spans="2:2" ht="35.1" customHeight="1" x14ac:dyDescent="0.25">
      <c r="B1" s="160" t="s">
        <v>471</v>
      </c>
    </row>
    <row r="2" spans="2:2" x14ac:dyDescent="0.25">
      <c r="B2" s="140" t="s">
        <v>472</v>
      </c>
    </row>
    <row r="4" spans="2:2" ht="15.75" x14ac:dyDescent="0.25">
      <c r="B4" s="141" t="s">
        <v>473</v>
      </c>
    </row>
    <row r="5" spans="2:2" ht="80.099999999999994" customHeight="1" x14ac:dyDescent="0.25">
      <c r="B5" s="142" t="s">
        <v>474</v>
      </c>
    </row>
    <row r="7" spans="2:2" ht="80.099999999999994" customHeight="1" x14ac:dyDescent="0.25">
      <c r="B7" s="142" t="s">
        <v>475</v>
      </c>
    </row>
    <row r="9" spans="2:2" ht="15.75" x14ac:dyDescent="0.25">
      <c r="B9" s="141" t="s">
        <v>476</v>
      </c>
    </row>
    <row r="10" spans="2:2" ht="35.1" customHeight="1" x14ac:dyDescent="0.25">
      <c r="B10" s="143" t="s">
        <v>477</v>
      </c>
    </row>
    <row r="11" spans="2:2" ht="35.1" customHeight="1" x14ac:dyDescent="0.25">
      <c r="B11" s="143" t="s">
        <v>478</v>
      </c>
    </row>
    <row r="12" spans="2:2" ht="35.1" customHeight="1" x14ac:dyDescent="0.25">
      <c r="B12" s="143" t="s">
        <v>479</v>
      </c>
    </row>
    <row r="14" spans="2:2" ht="15.75" x14ac:dyDescent="0.25">
      <c r="B14" s="141" t="s">
        <v>480</v>
      </c>
    </row>
    <row r="15" spans="2:2" ht="20.100000000000001" customHeight="1" x14ac:dyDescent="0.25">
      <c r="B15" s="143" t="s">
        <v>481</v>
      </c>
    </row>
    <row r="16" spans="2:2" ht="50.1" customHeight="1" x14ac:dyDescent="0.25">
      <c r="B16" s="142" t="s">
        <v>482</v>
      </c>
    </row>
    <row r="17" spans="2:2" ht="35.1" customHeight="1" x14ac:dyDescent="0.25">
      <c r="B17" s="142" t="s">
        <v>483</v>
      </c>
    </row>
    <row r="18" spans="2:2" ht="35.1" customHeight="1" x14ac:dyDescent="0.25">
      <c r="B18" s="142" t="s">
        <v>484</v>
      </c>
    </row>
    <row r="19" spans="2:2" ht="35.1" customHeight="1" x14ac:dyDescent="0.25">
      <c r="B19" s="142" t="s">
        <v>485</v>
      </c>
    </row>
    <row r="21" spans="2:2" ht="15.75" x14ac:dyDescent="0.25">
      <c r="B21" s="141" t="s">
        <v>486</v>
      </c>
    </row>
    <row r="22" spans="2:2" ht="50.1" customHeight="1" x14ac:dyDescent="0.25">
      <c r="B22" s="142" t="s">
        <v>487</v>
      </c>
    </row>
    <row r="23" spans="2:2" ht="35.1" customHeight="1" x14ac:dyDescent="0.25">
      <c r="B23" s="142" t="s">
        <v>488</v>
      </c>
    </row>
    <row r="24" spans="2:2" ht="50.1" customHeight="1" x14ac:dyDescent="0.25">
      <c r="B24" s="142" t="s">
        <v>489</v>
      </c>
    </row>
    <row r="25" spans="2:2" ht="50.1" customHeight="1" x14ac:dyDescent="0.25">
      <c r="B25" s="142" t="s">
        <v>490</v>
      </c>
    </row>
    <row r="26" spans="2:2" ht="35.1" customHeight="1" x14ac:dyDescent="0.25">
      <c r="B26" s="142" t="s">
        <v>491</v>
      </c>
    </row>
    <row r="28" spans="2:2" ht="15.75" x14ac:dyDescent="0.25">
      <c r="B28" s="141" t="s">
        <v>492</v>
      </c>
    </row>
    <row r="29" spans="2:2" ht="35.1" customHeight="1" x14ac:dyDescent="0.25">
      <c r="B29" s="143" t="s">
        <v>493</v>
      </c>
    </row>
    <row r="31" spans="2:2" ht="35.1" customHeight="1" x14ac:dyDescent="0.25">
      <c r="B31" s="142" t="s">
        <v>494</v>
      </c>
    </row>
    <row r="32" spans="2:2" ht="35.1" customHeight="1" x14ac:dyDescent="0.25">
      <c r="B32" s="142" t="s">
        <v>495</v>
      </c>
    </row>
    <row r="33" spans="2:2" ht="35.1" customHeight="1" x14ac:dyDescent="0.25">
      <c r="B33" s="142" t="s">
        <v>496</v>
      </c>
    </row>
    <row r="35" spans="2:2" ht="50.1" customHeight="1" x14ac:dyDescent="0.25">
      <c r="B35" s="142" t="s">
        <v>497</v>
      </c>
    </row>
    <row r="37" spans="2:2" ht="15.75" x14ac:dyDescent="0.25">
      <c r="B37" s="141" t="s">
        <v>25</v>
      </c>
    </row>
    <row r="39" spans="2:2" ht="30" customHeight="1" x14ac:dyDescent="0.25">
      <c r="B39" s="144" t="str">
        <f>IF(Scenarios!C38&gt;0.2,"RECOMMENDATION: BUY — Target Price: "&amp;TEXT(Scenarios!C35,"$#,##0.00")&amp;" | Current: "&amp;TEXT(Scenarios!C37,"$#,##0.00")&amp;" | Upside: "&amp;TEXT(Scenarios!C38,"0.0%"),IF(Scenarios!C38&gt;-0.1,"RECOMMENDATION: HOLD — Target Price: "&amp;TEXT(Scenarios!C35,"$#,##0.00")&amp;" | Current: "&amp;TEXT(Scenarios!C37,"$#,##0.00")&amp;" | Upside: "&amp;TEXT(Scenarios!C38,"0.0%"),"RECOMMENDATION: SELL — Target Price: "&amp;TEXT(Scenarios!C35,"$#,##0.00")&amp;" | Current: "&amp;TEXT(Scenarios!C37,"$#,##0.00")&amp;" | Downside: "&amp;TEXT(Scenarios!C38,"0.0%")))</f>
        <v>RECOMMENDATION: BUY — Target Price: $68,15513 | Current: $40,42000 | Upside: 69%</v>
      </c>
    </row>
    <row r="41" spans="2:2" ht="80.099999999999994" customHeight="1" x14ac:dyDescent="0.25">
      <c r="B41" s="143" t="s">
        <v>498</v>
      </c>
    </row>
    <row r="43" spans="2:2" ht="65.099999999999994" customHeight="1" x14ac:dyDescent="0.25">
      <c r="B43" s="142" t="s">
        <v>499</v>
      </c>
    </row>
    <row r="45" spans="2:2" ht="15.75" x14ac:dyDescent="0.25">
      <c r="B45" s="141" t="s">
        <v>500</v>
      </c>
    </row>
    <row r="46" spans="2:2" ht="20.100000000000001" customHeight="1" x14ac:dyDescent="0.25">
      <c r="B46" s="142" t="s">
        <v>501</v>
      </c>
    </row>
    <row r="47" spans="2:2" ht="20.100000000000001" customHeight="1" x14ac:dyDescent="0.25">
      <c r="B47" s="142" t="s">
        <v>502</v>
      </c>
    </row>
    <row r="48" spans="2:2" ht="20.100000000000001" customHeight="1" x14ac:dyDescent="0.25">
      <c r="B48" s="142" t="s">
        <v>503</v>
      </c>
    </row>
    <row r="49" spans="2:2" ht="20.100000000000001" customHeight="1" x14ac:dyDescent="0.25">
      <c r="B49" s="142" t="s">
        <v>504</v>
      </c>
    </row>
    <row r="51" spans="2:2" ht="15.75" x14ac:dyDescent="0.25">
      <c r="B51" s="141" t="s">
        <v>505</v>
      </c>
    </row>
    <row r="52" spans="2:2" ht="35.1" customHeight="1" x14ac:dyDescent="0.25">
      <c r="B52" s="142" t="s">
        <v>506</v>
      </c>
    </row>
    <row r="53" spans="2:2" ht="35.1" customHeight="1" x14ac:dyDescent="0.25">
      <c r="B53" s="142" t="s">
        <v>507</v>
      </c>
    </row>
    <row r="54" spans="2:2" ht="35.1" customHeight="1" x14ac:dyDescent="0.25">
      <c r="B54" s="142" t="s">
        <v>508</v>
      </c>
    </row>
    <row r="55" spans="2:2" ht="20.100000000000001" customHeight="1" x14ac:dyDescent="0.25">
      <c r="B55" s="142" t="s">
        <v>509</v>
      </c>
    </row>
    <row r="56" spans="2:2" ht="35.1" customHeight="1" x14ac:dyDescent="0.25">
      <c r="B56" s="142" t="s">
        <v>510</v>
      </c>
    </row>
    <row r="58" spans="2:2" ht="15.75" x14ac:dyDescent="0.25">
      <c r="B58" s="141" t="s">
        <v>511</v>
      </c>
    </row>
    <row r="59" spans="2:2" ht="65.099999999999994" customHeight="1" x14ac:dyDescent="0.25">
      <c r="B59" s="142" t="s">
        <v>512</v>
      </c>
    </row>
  </sheetData>
  <mergeCells count="1">
    <mergeCell ref="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vt:i4>
      </vt:variant>
    </vt:vector>
  </HeadingPairs>
  <TitlesOfParts>
    <vt:vector size="10" baseType="lpstr">
      <vt:lpstr>Cover</vt:lpstr>
      <vt:lpstr>Assumptions</vt:lpstr>
      <vt:lpstr>Income Statement</vt:lpstr>
      <vt:lpstr>Balance Sheet</vt:lpstr>
      <vt:lpstr>Cash Flow</vt:lpstr>
      <vt:lpstr>Ratios</vt:lpstr>
      <vt:lpstr>DCF</vt:lpstr>
      <vt:lpstr>Scenarios</vt:lpstr>
      <vt:lpstr>Investment Memo</vt:lpstr>
      <vt:lpstr>Cover!Área_de_impresión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Mercé Borrás</cp:lastModifiedBy>
  <dcterms:created xsi:type="dcterms:W3CDTF">2026-02-10T17:33:30Z</dcterms:created>
  <dcterms:modified xsi:type="dcterms:W3CDTF">2026-02-12T18:00:24Z</dcterms:modified>
</cp:coreProperties>
</file>